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À lire" sheetId="1" state="visible" r:id="rId3"/>
    <sheet name="Synthèse" sheetId="2" state="visible" r:id="rId4"/>
    <sheet name="Routing" sheetId="3" state="visible" r:id="rId5"/>
    <sheet name="Semaines octobre" sheetId="4" state="visible" r:id="rId6"/>
  </sheets>
  <definedNames>
    <definedName function="false" hidden="false" localSheetId="2" name="_xlnm.Print_Titles" vbProcedure="false">Routing!$1:$1</definedName>
    <definedName function="false" hidden="true" localSheetId="2" name="_xlnm._FilterDatabase" vbProcedure="false">Routing!$A$1:$Q$216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1" authorId="0">
      <text>
        <r>
          <rPr>
            <sz val="10"/>
            <rFont val="Arial"/>
            <family val="2"/>
          </rPr>
          <t xml:space="preserve">À remplir par Atom : Oui = ligne juste, Non = à corriger.</t>
        </r>
      </text>
    </comment>
    <comment ref="Q1" authorId="0">
      <text>
        <r>
          <rPr>
            <sz val="10"/>
            <rFont val="Arial"/>
            <family val="2"/>
          </rPr>
          <t xml:space="preserve">À remplir par Atom si « Non » : bon lieu ou bon point GPS (latitude, longitude).</t>
        </r>
      </text>
    </comment>
  </commentList>
</comments>
</file>

<file path=xl/sharedStrings.xml><?xml version="1.0" encoding="utf-8"?>
<sst xmlns="http://schemas.openxmlformats.org/spreadsheetml/2006/main" count="2614" uniqueCount="669">
  <si>
    <t xml:space="preserve">Routing mensuel Atom — validation des lieux et des points GPS (17/10/2026)</t>
  </si>
  <si>
    <t xml:space="preserve">Pourquoi ce fichier</t>
  </si>
  <si>
    <t xml:space="preserve">Le 17/10, deux merchandisers (Zogbolou Kevin, Abbé Frédéric) ont reçu dans l'application des PDV d'une autre zone que celle prévue.</t>
  </si>
  <si>
    <t xml:space="preserve">Cause : dans le fichier de routing du 10/10, certains points GPS ne tombent pas sur le lieu de visite. L'application prend les PDV à moins de 500 m de ce point.</t>
  </si>
  <si>
    <t xml:space="preserve">Nous avons comparé chaque point avec OpenStreetMap et avec le quartier des PDV. 24 points ont été corrigés ; d'autres restent à confirmer par Atom.</t>
  </si>
  <si>
    <t xml:space="preserve">Ce que nous vous demandons</t>
  </si>
  <si>
    <t xml:space="preserve">1. Onglet « Routing » : remplir les cellules jaunes. « Validation Atom » : Oui (ligne juste) ou Non (à corriger). Si Non, écrire le bon lieu ou le bon point GPS (copié de Google Maps) dans « Correction Atom ».</t>
  </si>
  <si>
    <t xml:space="preserve">   Les lignes « À confirmer (douteux) » sont prioritaires ; les lignes « Corrigé le 17/10 » sont à vérifier.</t>
  </si>
  <si>
    <t xml:space="preserve">2. Onglet « Semaines octobre » : indiquer, dans la colonne jaune, le numéro de semaine (Occurrence 1 à 4) que vous utilisez pour chaque date.</t>
  </si>
  <si>
    <t xml:space="preserve">   Exemple : le samedi 17/10, l'application compte la semaine 3 (Attécoubé 2 pour Abbé). Abbé attendait la semaine 2 (Dallas 1). Lequel est juste ?</t>
  </si>
  <si>
    <t xml:space="preserve">3. Abbé Frédéric : son planning a-t-il changé après la réaffectation du 16/10 ? Si oui, merci d'envoyer le nouveau fichier.</t>
  </si>
  <si>
    <t xml:space="preserve">Exemple de ligne remplie (onglet « Routing ») :</t>
  </si>
  <si>
    <t xml:space="preserve">ZOGBOLOU KEVIN | Samedi | S3 | Maroc 3 | … | Validation Atom : Non | Correction Atom : « Maroc 3 = vers le marché de Maroc, 5.34100, -4.10050 »</t>
  </si>
  <si>
    <t xml:space="preserve">Légende des statuts</t>
  </si>
  <si>
    <t xml:space="preserve">OK : le point correspond au lieu (OpenStreetMap à moins de 1 km, ou PDV du quartier à moins de 500 m).</t>
  </si>
  <si>
    <t xml:space="preserve">Corrigé le 17/10 : le point de l'agence était hors du lieu ; nouveau point = OpenStreetMap ou centre des PDV du quartier (colonne « Explication »).</t>
  </si>
  <si>
    <t xml:space="preserve">À confirmer (douteux) : les sources se contredisent, ou le point semble loin du lieu. Pas de changement sans votre réponse.</t>
  </si>
  <si>
    <t xml:space="preserve">À confirmer (non vérifiable) : lieu introuvable sur OpenStreetMap et pas de quartier de PDV reconnu. Pas de changement.</t>
  </si>
  <si>
    <t xml:space="preserve">Semaine (colonne C) : numérotation actuelle de l'application, semaine 1 = jours 1 à 7 du mois, semaine 2 = 8 à 14, etc.</t>
  </si>
  <si>
    <t xml:space="preserve">Points GPS : latitude, longitude (WGS84). Le lien « Carte » ouvre le point dans Google Maps.</t>
  </si>
  <si>
    <t xml:space="preserve">Sources : base de l'application (17/10/2026, 12 h), OpenStreetMap / Nominatim (© contributeurs OpenStreetMap, licence ODbL).</t>
  </si>
  <si>
    <t xml:space="preserve">Merchandiser</t>
  </si>
  <si>
    <t xml:space="preserve">Cases</t>
  </si>
  <si>
    <t xml:space="preserve">OK</t>
  </si>
  <si>
    <t xml:space="preserve">Corrigé le 17/10</t>
  </si>
  <si>
    <t xml:space="preserve">À confirmer (douteux)</t>
  </si>
  <si>
    <t xml:space="preserve">À confirmer (non vérifiable)</t>
  </si>
  <si>
    <t xml:space="preserve">Validées par Atom</t>
  </si>
  <si>
    <t xml:space="preserve">ABBE FREDERIC</t>
  </si>
  <si>
    <t xml:space="preserve">DEHEO WILFRIED</t>
  </si>
  <si>
    <t xml:space="preserve">GUI STEPHANE</t>
  </si>
  <si>
    <t xml:space="preserve">GUIHI BERNADIN</t>
  </si>
  <si>
    <t xml:space="preserve">KOUADIO ATOFFE GUY ANICET</t>
  </si>
  <si>
    <t xml:space="preserve">KOUAME HELLARION</t>
  </si>
  <si>
    <t xml:space="preserve">SEREGONE SCHADRACK</t>
  </si>
  <si>
    <t xml:space="preserve">YAO VENANCE</t>
  </si>
  <si>
    <t xml:space="preserve">ZOGBOLOU KEVIN</t>
  </si>
  <si>
    <t xml:space="preserve">Total</t>
  </si>
  <si>
    <t xml:space="preserve">Jour</t>
  </si>
  <si>
    <t xml:space="preserve">Semaine</t>
  </si>
  <si>
    <t xml:space="preserve">Point de visite</t>
  </si>
  <si>
    <t xml:space="preserve">Commune</t>
  </si>
  <si>
    <t xml:space="preserve">Distributeur</t>
  </si>
  <si>
    <t xml:space="preserve">SSF</t>
  </si>
  <si>
    <t xml:space="preserve">Engin</t>
  </si>
  <si>
    <t xml:space="preserve">Statut</t>
  </si>
  <si>
    <t xml:space="preserve">Point GPS utilisé</t>
  </si>
  <si>
    <t xml:space="preserve">Carte</t>
  </si>
  <si>
    <t xml:space="preserve">Ancien point (agence)</t>
  </si>
  <si>
    <t xml:space="preserve">Écart (m)</t>
  </si>
  <si>
    <t xml:space="preserve">Explication</t>
  </si>
  <si>
    <t xml:space="preserve">Suggestion OpenStreetMap</t>
  </si>
  <si>
    <t xml:space="preserve">Validation Atom</t>
  </si>
  <si>
    <t xml:space="preserve">Correction Atom</t>
  </si>
  <si>
    <t xml:space="preserve">Lundi</t>
  </si>
  <si>
    <t xml:space="preserve">S1</t>
  </si>
  <si>
    <t xml:space="preserve">220 Logements 1</t>
  </si>
  <si>
    <t xml:space="preserve">Adjamé</t>
  </si>
  <si>
    <t xml:space="preserve">BOUSSOURA SARL</t>
  </si>
  <si>
    <t xml:space="preserve">Tra Bi Ta Arsène</t>
  </si>
  <si>
    <t xml:space="preserve">Mini van</t>
  </si>
  <si>
    <t xml:space="preserve">5.35800, -4.02100</t>
  </si>
  <si>
    <t xml:space="preserve">Point à 795 m du lieu trouvé sur OpenStreetMap</t>
  </si>
  <si>
    <t xml:space="preserve">Mardi</t>
  </si>
  <si>
    <t xml:space="preserve">Agban village</t>
  </si>
  <si>
    <t xml:space="preserve">Attécoubé</t>
  </si>
  <si>
    <t xml:space="preserve">Kouadio Kouadio Morel Arsène</t>
  </si>
  <si>
    <t xml:space="preserve">5.36023, -4.03334</t>
  </si>
  <si>
    <t xml:space="preserve">Point à 1 m du lieu trouvé sur OpenStreetMap</t>
  </si>
  <si>
    <t xml:space="preserve">Mercredi</t>
  </si>
  <si>
    <t xml:space="preserve">Quartier Ébrié</t>
  </si>
  <si>
    <t xml:space="preserve">Yapi Wilfried Landry Élisé</t>
  </si>
  <si>
    <t xml:space="preserve">5.35529, -4.02076</t>
  </si>
  <si>
    <t xml:space="preserve">Point à 0 m du lieu trouvé sur OpenStreetMap</t>
  </si>
  <si>
    <t xml:space="preserve">Jeudi</t>
  </si>
  <si>
    <t xml:space="preserve">Paillet</t>
  </si>
  <si>
    <t xml:space="preserve">Adjamé (Williamsville)</t>
  </si>
  <si>
    <t xml:space="preserve">Edgar Koissi Attowla Yao</t>
  </si>
  <si>
    <t xml:space="preserve">5.37671, -4.01332</t>
  </si>
  <si>
    <t xml:space="preserve">Lieu introuvable sur OpenStreetMap ; PDV du quartier reconnu à 1016 m du point</t>
  </si>
  <si>
    <t xml:space="preserve">Vendredi</t>
  </si>
  <si>
    <t xml:space="preserve">Cité Rane</t>
  </si>
  <si>
    <t xml:space="preserve">Diallo Souleymane</t>
  </si>
  <si>
    <t xml:space="preserve">5.36400, -4.02400</t>
  </si>
  <si>
    <t xml:space="preserve">Lieu introuvable sur OpenStreetMap et aucun quartier de PDV reconnu : point non vérifiable</t>
  </si>
  <si>
    <t xml:space="preserve">Samedi</t>
  </si>
  <si>
    <t xml:space="preserve">Bracodi</t>
  </si>
  <si>
    <t xml:space="preserve">Tamdia Aliou</t>
  </si>
  <si>
    <t xml:space="preserve">Grossiste</t>
  </si>
  <si>
    <t xml:space="preserve">5.36160, -4.02523</t>
  </si>
  <si>
    <t xml:space="preserve">S2</t>
  </si>
  <si>
    <t xml:space="preserve">220 Logements 2</t>
  </si>
  <si>
    <t xml:space="preserve">5.35950, -4.02250</t>
  </si>
  <si>
    <t xml:space="preserve">PDV du quartier reconnu à 100 m du point</t>
  </si>
  <si>
    <t xml:space="preserve">Attécoubé 1</t>
  </si>
  <si>
    <t xml:space="preserve">5.33700, -4.03200</t>
  </si>
  <si>
    <t xml:space="preserve">Point à 511 m des PDV notés ATTECOUBE (limite) ; le centre de ces PDV tombe côté Adjamé.</t>
  </si>
  <si>
    <t xml:space="preserve">5.35151, -4.05196 (« Attécoubé 3 »)</t>
  </si>
  <si>
    <t xml:space="preserve">Dallas 1</t>
  </si>
  <si>
    <t xml:space="preserve">5.34191, -4.02370</t>
  </si>
  <si>
    <t xml:space="preserve">5.33200, -4.03900</t>
  </si>
  <si>
    <t xml:space="preserve">OpenStreetMap « Carrefour Dallas »</t>
  </si>
  <si>
    <t xml:space="preserve">Williamsville 1</t>
  </si>
  <si>
    <t xml:space="preserve">5.37375, -4.02510</t>
  </si>
  <si>
    <t xml:space="preserve">5.37200, -4.01800</t>
  </si>
  <si>
    <t xml:space="preserve">Centre des PDV du quartier (lieu introuvable sur OpenStreetMap)</t>
  </si>
  <si>
    <t xml:space="preserve">Bramakoté 1</t>
  </si>
  <si>
    <t xml:space="preserve">5.34927, -4.03242</t>
  </si>
  <si>
    <t xml:space="preserve">5.36100, -4.02900</t>
  </si>
  <si>
    <t xml:space="preserve">Kouadio Kouassi Pacôme</t>
  </si>
  <si>
    <t xml:space="preserve">Moto</t>
  </si>
  <si>
    <t xml:space="preserve">S3</t>
  </si>
  <si>
    <t xml:space="preserve">Bracodi 1</t>
  </si>
  <si>
    <t xml:space="preserve">5.35200, -4.02500</t>
  </si>
  <si>
    <t xml:space="preserve">OpenStreetMap « Bracodi »</t>
  </si>
  <si>
    <t xml:space="preserve">Attécoubé 2</t>
  </si>
  <si>
    <t xml:space="preserve">5.33850, -4.03350</t>
  </si>
  <si>
    <t xml:space="preserve">PDV du quartier reconnu à 409 m du point</t>
  </si>
  <si>
    <t xml:space="preserve">Saint Michel 1</t>
  </si>
  <si>
    <t xml:space="preserve">5.34548, -4.02202</t>
  </si>
  <si>
    <t xml:space="preserve">5.35500, -4.02300</t>
  </si>
  <si>
    <t xml:space="preserve">OpenStreetMap « Saint-Michel »</t>
  </si>
  <si>
    <t xml:space="preserve">Vidange</t>
  </si>
  <si>
    <t xml:space="preserve">5.38519, -4.00601</t>
  </si>
  <si>
    <t xml:space="preserve">Lieu introuvable sur OpenStreetMap ; PDV du quartier reconnu à 2059 m du point</t>
  </si>
  <si>
    <t xml:space="preserve">Bramakoté 2</t>
  </si>
  <si>
    <t xml:space="preserve">5.36250, -4.03050</t>
  </si>
  <si>
    <t xml:space="preserve">S4</t>
  </si>
  <si>
    <t xml:space="preserve">Bracodi 2</t>
  </si>
  <si>
    <t xml:space="preserve">5.35350, -4.02650</t>
  </si>
  <si>
    <t xml:space="preserve">Point à 911 m du lieu trouvé sur OpenStreetMap</t>
  </si>
  <si>
    <t xml:space="preserve">Cité Fairmont et Attécoubé 2</t>
  </si>
  <si>
    <t xml:space="preserve">5.34000, -4.03100</t>
  </si>
  <si>
    <t xml:space="preserve">PDV du quartier reconnu à 182 m du point</t>
  </si>
  <si>
    <t xml:space="preserve">Dallas 2</t>
  </si>
  <si>
    <t xml:space="preserve">5.33350, -4.04050</t>
  </si>
  <si>
    <t xml:space="preserve">HMA</t>
  </si>
  <si>
    <t xml:space="preserve">5.38132, -4.00742</t>
  </si>
  <si>
    <t xml:space="preserve">Point à 954 m du lieu trouvé sur OpenStreetMap</t>
  </si>
  <si>
    <t xml:space="preserve">Délégation</t>
  </si>
  <si>
    <t xml:space="preserve">5.34325, -4.02980</t>
  </si>
  <si>
    <t xml:space="preserve">Quartier rouge</t>
  </si>
  <si>
    <t xml:space="preserve">5.35080, -4.02050</t>
  </si>
  <si>
    <t xml:space="preserve">PDV du quartier reconnu à 14 m du point</t>
  </si>
  <si>
    <t xml:space="preserve">Sable et Institut des aveugles</t>
  </si>
  <si>
    <t xml:space="preserve">Yopougon</t>
  </si>
  <si>
    <t xml:space="preserve">SODICOM-CI</t>
  </si>
  <si>
    <t xml:space="preserve">Koné Moussa</t>
  </si>
  <si>
    <t xml:space="preserve">5.35705, -4.06819</t>
  </si>
  <si>
    <t xml:space="preserve">5.33800, -4.07800</t>
  </si>
  <si>
    <t xml:space="preserve">OpenStreetMap « Sable »</t>
  </si>
  <si>
    <t xml:space="preserve">Niangon</t>
  </si>
  <si>
    <t xml:space="preserve">Yapi Amandine</t>
  </si>
  <si>
    <t xml:space="preserve">5.32358, -4.09822</t>
  </si>
  <si>
    <t xml:space="preserve">Selmer</t>
  </si>
  <si>
    <t xml:space="preserve">Kouamé Guillaume</t>
  </si>
  <si>
    <t xml:space="preserve">5.34037, -4.07002</t>
  </si>
  <si>
    <t xml:space="preserve">Koweït</t>
  </si>
  <si>
    <t xml:space="preserve">Konan Kan Franck</t>
  </si>
  <si>
    <t xml:space="preserve">5.32218, -4.05427</t>
  </si>
  <si>
    <t xml:space="preserve">Point à 109 m du lieu trouvé sur OpenStreetMap</t>
  </si>
  <si>
    <t xml:space="preserve">Petit Toit rouge</t>
  </si>
  <si>
    <t xml:space="preserve">Zoro Bi Arthur</t>
  </si>
  <si>
    <t xml:space="preserve">5.32412, -4.06695</t>
  </si>
  <si>
    <t xml:space="preserve">Point à 172 m du lieu trouvé sur OpenStreetMap</t>
  </si>
  <si>
    <t xml:space="preserve">Base CIE</t>
  </si>
  <si>
    <t xml:space="preserve">Bakayoko Alassane</t>
  </si>
  <si>
    <t xml:space="preserve">5.33219, -4.08947</t>
  </si>
  <si>
    <t xml:space="preserve">Point à 13 m du lieu trouvé sur OpenStreetMap</t>
  </si>
  <si>
    <t xml:space="preserve">Millionnaire</t>
  </si>
  <si>
    <t xml:space="preserve">5.35429, -4.06024</t>
  </si>
  <si>
    <t xml:space="preserve">Camp militaire</t>
  </si>
  <si>
    <t xml:space="preserve">5.32157, -4.06465</t>
  </si>
  <si>
    <t xml:space="preserve">Sicogi</t>
  </si>
  <si>
    <t xml:space="preserve">5.34409, -4.07743</t>
  </si>
  <si>
    <t xml:space="preserve">Koweït 2 et Agbayaté 1</t>
  </si>
  <si>
    <t xml:space="preserve">5.32122, -4.05446</t>
  </si>
  <si>
    <t xml:space="preserve">5.32100, -4.09200</t>
  </si>
  <si>
    <t xml:space="preserve">OpenStreetMap « Koweit »</t>
  </si>
  <si>
    <t xml:space="preserve">Kouté</t>
  </si>
  <si>
    <t xml:space="preserve">5.32514, -4.07331</t>
  </si>
  <si>
    <t xml:space="preserve">Locodjro</t>
  </si>
  <si>
    <t xml:space="preserve">Yao Jaurès</t>
  </si>
  <si>
    <t xml:space="preserve">5.32641, -4.04112</t>
  </si>
  <si>
    <t xml:space="preserve">PDV du quartier reconnu à 151 m du point</t>
  </si>
  <si>
    <t xml:space="preserve">Nouveau quartier</t>
  </si>
  <si>
    <t xml:space="preserve">5.33959, -4.05924</t>
  </si>
  <si>
    <t xml:space="preserve">Sideci LEM</t>
  </si>
  <si>
    <t xml:space="preserve">5.33100, -4.08400</t>
  </si>
  <si>
    <t xml:space="preserve">Point à 766 m du lieu trouvé sur OpenStreetMap</t>
  </si>
  <si>
    <t xml:space="preserve">Complexe</t>
  </si>
  <si>
    <t xml:space="preserve">5.34141, -4.06502</t>
  </si>
  <si>
    <t xml:space="preserve">Agbayaté 2</t>
  </si>
  <si>
    <t xml:space="preserve">5.32250, -4.09400</t>
  </si>
  <si>
    <t xml:space="preserve">OpenStreetMap propose « Carrefour Agbayaté » (bus_stop) à 5133 m du point de l'agence : lieu peu sûr</t>
  </si>
  <si>
    <t xml:space="preserve">5.32220, -4.04764 (« Carrefour Agbayaté »)</t>
  </si>
  <si>
    <t xml:space="preserve">Béago</t>
  </si>
  <si>
    <t xml:space="preserve">5.30756, -4.07007</t>
  </si>
  <si>
    <t xml:space="preserve">Mossikro</t>
  </si>
  <si>
    <t xml:space="preserve">Oboumou Charles</t>
  </si>
  <si>
    <t xml:space="preserve">5.34099, -4.04635</t>
  </si>
  <si>
    <t xml:space="preserve">PDV du quartier reconnu à 31 m du point</t>
  </si>
  <si>
    <t xml:space="preserve">Toit rouge</t>
  </si>
  <si>
    <t xml:space="preserve">5.33133, -4.05500</t>
  </si>
  <si>
    <t xml:space="preserve">Assonvon</t>
  </si>
  <si>
    <t xml:space="preserve">5.33300, -4.08800</t>
  </si>
  <si>
    <t xml:space="preserve">OpenStreetMap propose « Pharmacie Assonvon » (pharmacy) à 2205 m du point de l'agence : lieu peu sûr</t>
  </si>
  <si>
    <t xml:space="preserve">5.33276, -4.06809 (« Pharmacie Assonvon »)</t>
  </si>
  <si>
    <t xml:space="preserve">Wassakara</t>
  </si>
  <si>
    <t xml:space="preserve">5.34811, -4.06675</t>
  </si>
  <si>
    <t xml:space="preserve">Abobodoumé</t>
  </si>
  <si>
    <t xml:space="preserve">5.30913, -4.04012</t>
  </si>
  <si>
    <t xml:space="preserve">Point à 690 m du lieu trouvé sur OpenStreetMap</t>
  </si>
  <si>
    <t xml:space="preserve">Azito</t>
  </si>
  <si>
    <t xml:space="preserve">5.30152, -4.08161</t>
  </si>
  <si>
    <t xml:space="preserve">Biafra</t>
  </si>
  <si>
    <t xml:space="preserve">Treichville</t>
  </si>
  <si>
    <t xml:space="preserve">SIDECOM</t>
  </si>
  <si>
    <t xml:space="preserve">Aucun SSF</t>
  </si>
  <si>
    <t xml:space="preserve">5.31344, -4.00484</t>
  </si>
  <si>
    <t xml:space="preserve">Grand marché</t>
  </si>
  <si>
    <t xml:space="preserve">Marcory</t>
  </si>
  <si>
    <t xml:space="preserve">5.30100, -4.00500</t>
  </si>
  <si>
    <t xml:space="preserve">OpenStreetMap propose « Grand marché de Marcory » (marketplace) à 3216 m du point de l'agence : lieu peu sûr</t>
  </si>
  <si>
    <t xml:space="preserve">5.29986, -3.97598 (« Grand marché de Marcory »)</t>
  </si>
  <si>
    <t xml:space="preserve">Biétry</t>
  </si>
  <si>
    <t xml:space="preserve">5.27768, -3.97499</t>
  </si>
  <si>
    <t xml:space="preserve">Hibiscus</t>
  </si>
  <si>
    <t xml:space="preserve">5.29900, -3.98184</t>
  </si>
  <si>
    <t xml:space="preserve">Petit marché</t>
  </si>
  <si>
    <t xml:space="preserve">5.30229, -3.98481</t>
  </si>
  <si>
    <t xml:space="preserve">Point à 60 m du lieu trouvé sur OpenStreetMap</t>
  </si>
  <si>
    <t xml:space="preserve">Snap</t>
  </si>
  <si>
    <t xml:space="preserve">5.30400, -3.99200</t>
  </si>
  <si>
    <t xml:space="preserve">Arras</t>
  </si>
  <si>
    <t xml:space="preserve">5.29995, -4.00339</t>
  </si>
  <si>
    <t xml:space="preserve">Gare de Bassam</t>
  </si>
  <si>
    <t xml:space="preserve">5.29905, -4.00329</t>
  </si>
  <si>
    <t xml:space="preserve">Point à 84 m du lieu trouvé sur OpenStreetMap</t>
  </si>
  <si>
    <t xml:space="preserve">Zone 4</t>
  </si>
  <si>
    <t xml:space="preserve">5.29194, -3.98127</t>
  </si>
  <si>
    <t xml:space="preserve">Anoumabo</t>
  </si>
  <si>
    <t xml:space="preserve">5.30966, -3.96822</t>
  </si>
  <si>
    <t xml:space="preserve">Sans fil</t>
  </si>
  <si>
    <t xml:space="preserve">5.30708, -3.96405</t>
  </si>
  <si>
    <t xml:space="preserve">Konan Raphaël</t>
  </si>
  <si>
    <t xml:space="preserve">5.29836, -3.98486</t>
  </si>
  <si>
    <t xml:space="preserve">Quartier Apollo</t>
  </si>
  <si>
    <t xml:space="preserve">5.30614, -4.00926</t>
  </si>
  <si>
    <t xml:space="preserve">5.29200, -4.00800</t>
  </si>
  <si>
    <t xml:space="preserve">Belle ville</t>
  </si>
  <si>
    <t xml:space="preserve">5.30465, -3.99702</t>
  </si>
  <si>
    <t xml:space="preserve">PDV du quartier reconnu à 76 m du point</t>
  </si>
  <si>
    <t xml:space="preserve">Résidentiel</t>
  </si>
  <si>
    <t xml:space="preserve">5.31154, -3.99374</t>
  </si>
  <si>
    <t xml:space="preserve">Marie Core</t>
  </si>
  <si>
    <t xml:space="preserve">5.30500, -3.98200</t>
  </si>
  <si>
    <t xml:space="preserve">Champroux</t>
  </si>
  <si>
    <t xml:space="preserve">5.30509, -3.99259</t>
  </si>
  <si>
    <t xml:space="preserve">PDV du quartier reconnu à 119 m du point</t>
  </si>
  <si>
    <t xml:space="preserve">Déguerpis</t>
  </si>
  <si>
    <t xml:space="preserve">5.29100, -3.98500</t>
  </si>
  <si>
    <t xml:space="preserve">CHU</t>
  </si>
  <si>
    <t xml:space="preserve">5.29158, -4.00357</t>
  </si>
  <si>
    <t xml:space="preserve">Point à 400 m du lieu trouvé sur OpenStreetMap</t>
  </si>
  <si>
    <t xml:space="preserve">Zone portuaire</t>
  </si>
  <si>
    <t xml:space="preserve">5.28500, -4.01500</t>
  </si>
  <si>
    <t xml:space="preserve">Lieu introuvable sur OpenStreetMap ; PDV du quartier reconnu à 1079 m du point</t>
  </si>
  <si>
    <t xml:space="preserve">Remblais</t>
  </si>
  <si>
    <t xml:space="preserve">5.30709, -3.96364</t>
  </si>
  <si>
    <t xml:space="preserve">Centre commercial</t>
  </si>
  <si>
    <t xml:space="preserve">5.30200, -3.98800</t>
  </si>
  <si>
    <t xml:space="preserve">Point à 853 m du lieu trouvé sur OpenStreetMap</t>
  </si>
  <si>
    <t xml:space="preserve">Texas</t>
  </si>
  <si>
    <t xml:space="preserve">5.29800, -3.97900</t>
  </si>
  <si>
    <t xml:space="preserve">Jean-Baptiste Mockey</t>
  </si>
  <si>
    <t xml:space="preserve">5.30185, -3.97515</t>
  </si>
  <si>
    <t xml:space="preserve">Point à 23 m du lieu trouvé sur OpenStreetMap</t>
  </si>
  <si>
    <t xml:space="preserve">2 Plateaux (Colombie)</t>
  </si>
  <si>
    <t xml:space="preserve">Cocody</t>
  </si>
  <si>
    <t xml:space="preserve">PRODISMA</t>
  </si>
  <si>
    <t xml:space="preserve">M. Dali</t>
  </si>
  <si>
    <t xml:space="preserve">5.37529, -4.00395</t>
  </si>
  <si>
    <t xml:space="preserve">PDV du quartier reconnu à 74 m du point</t>
  </si>
  <si>
    <t xml:space="preserve">Riviera 3</t>
  </si>
  <si>
    <t xml:space="preserve">M. Blé Nicaise</t>
  </si>
  <si>
    <t xml:space="preserve">5.35120, -3.96016</t>
  </si>
  <si>
    <t xml:space="preserve">Point à 316 m du lieu trouvé sur OpenStreetMap</t>
  </si>
  <si>
    <t xml:space="preserve">Mahou Dokoui</t>
  </si>
  <si>
    <t xml:space="preserve">M. Gnadja Olivier</t>
  </si>
  <si>
    <t xml:space="preserve">5.37800, -3.98500</t>
  </si>
  <si>
    <t xml:space="preserve">Lieu introuvable sur OpenStreetMap ; PDV du quartier reconnu à 2168 m du point</t>
  </si>
  <si>
    <t xml:space="preserve">M'Pouto</t>
  </si>
  <si>
    <t xml:space="preserve">M. Guei</t>
  </si>
  <si>
    <t xml:space="preserve">5.32697, -3.95611</t>
  </si>
  <si>
    <t xml:space="preserve">Cocody Centre</t>
  </si>
  <si>
    <t xml:space="preserve">Non nommé</t>
  </si>
  <si>
    <t xml:space="preserve">Motorisé</t>
  </si>
  <si>
    <t xml:space="preserve">5.33500, -4.00300</t>
  </si>
  <si>
    <t xml:space="preserve">PDV du quartier reconnu à 30 m du point</t>
  </si>
  <si>
    <t xml:space="preserve">À préciser</t>
  </si>
  <si>
    <t xml:space="preserve">2 Plateaux (Bleu marine)</t>
  </si>
  <si>
    <t xml:space="preserve">5.36200, -3.99200</t>
  </si>
  <si>
    <t xml:space="preserve">Point à 852 m du lieu trouvé sur OpenStreetMap</t>
  </si>
  <si>
    <t xml:space="preserve">Anono 1 et 2</t>
  </si>
  <si>
    <t xml:space="preserve">5.34200, -3.96800</t>
  </si>
  <si>
    <t xml:space="preserve">PDV du quartier reconnu à 387 m du point</t>
  </si>
  <si>
    <t xml:space="preserve">Allocodrome</t>
  </si>
  <si>
    <t xml:space="preserve">5.35800, -3.99100</t>
  </si>
  <si>
    <t xml:space="preserve">OpenStreetMap propose « Allocodrome » (bus_stop) à 4506 m du point de l'agence : lieu peu sûr</t>
  </si>
  <si>
    <t xml:space="preserve">5.39661, -4.00336 (« Allocodrome »)</t>
  </si>
  <si>
    <t xml:space="preserve">CAD</t>
  </si>
  <si>
    <t xml:space="preserve">5.34800, -3.95500</t>
  </si>
  <si>
    <t xml:space="preserve">Riviera</t>
  </si>
  <si>
    <t xml:space="preserve">5.35100, -3.96200</t>
  </si>
  <si>
    <t xml:space="preserve">Point à 483 m du lieu trouvé sur OpenStreetMap</t>
  </si>
  <si>
    <t xml:space="preserve">Anono (1 et 2)</t>
  </si>
  <si>
    <t xml:space="preserve">Point à 619 m du lieu trouvé sur OpenStreetMap</t>
  </si>
  <si>
    <t xml:space="preserve">2 Plateaux (Casa)</t>
  </si>
  <si>
    <t xml:space="preserve">5.36400, -3.98900</t>
  </si>
  <si>
    <t xml:space="preserve">Point à 710 m du lieu trouvé sur OpenStreetMap</t>
  </si>
  <si>
    <t xml:space="preserve">Anono 3</t>
  </si>
  <si>
    <t xml:space="preserve">5.34350, -3.96650</t>
  </si>
  <si>
    <t xml:space="preserve">Point à 800 m du lieu trouvé sur OpenStreetMap</t>
  </si>
  <si>
    <t xml:space="preserve">Danga Cité des arts</t>
  </si>
  <si>
    <t xml:space="preserve">5.34659, -3.99977</t>
  </si>
  <si>
    <t xml:space="preserve">Point à 610 m du lieu trouvé sur OpenStreetMap</t>
  </si>
  <si>
    <t xml:space="preserve">M'Badon</t>
  </si>
  <si>
    <t xml:space="preserve">5.32767, -3.93473</t>
  </si>
  <si>
    <t xml:space="preserve">2 Plateaux</t>
  </si>
  <si>
    <t xml:space="preserve">5.36967, -3.99195</t>
  </si>
  <si>
    <t xml:space="preserve">Blockoss</t>
  </si>
  <si>
    <t xml:space="preserve">5.32322, -4.00183</t>
  </si>
  <si>
    <t xml:space="preserve">2 Plateaux (Valon)</t>
  </si>
  <si>
    <t xml:space="preserve">5.35853, -3.99401</t>
  </si>
  <si>
    <t xml:space="preserve">PDV du quartier reconnu à 437 m du point</t>
  </si>
  <si>
    <t xml:space="preserve">Anono 4</t>
  </si>
  <si>
    <t xml:space="preserve">5.34500, -3.96500</t>
  </si>
  <si>
    <t xml:space="preserve">PDV du quartier reconnu à 500 m du point</t>
  </si>
  <si>
    <t xml:space="preserve">Blockoss et Cocody Centre</t>
  </si>
  <si>
    <t xml:space="preserve">5.32800, -4.00100</t>
  </si>
  <si>
    <t xml:space="preserve">PDV du quartier reconnu à 313 m du point</t>
  </si>
  <si>
    <t xml:space="preserve">M'Pouto et CAD</t>
  </si>
  <si>
    <t xml:space="preserve">5.34100, -3.95100</t>
  </si>
  <si>
    <t xml:space="preserve">OpenStreetMap « M’pouto »</t>
  </si>
  <si>
    <t xml:space="preserve">CA (à confirmer)</t>
  </si>
  <si>
    <t xml:space="preserve">5.35000, -3.97000</t>
  </si>
  <si>
    <t xml:space="preserve">Le fichier dit lui-même « à confirmer » ; OpenStreetMap ne donne que la commune (Cocody).</t>
  </si>
  <si>
    <t xml:space="preserve">5.35737, -3.99493 (« Cocody »)</t>
  </si>
  <si>
    <t xml:space="preserve">Koumassi 32</t>
  </si>
  <si>
    <t xml:space="preserve">Koumassi</t>
  </si>
  <si>
    <t xml:space="preserve">5.30750, -3.95296</t>
  </si>
  <si>
    <t xml:space="preserve">PDV du quartier reconnu à 287 m du point</t>
  </si>
  <si>
    <t xml:space="preserve">Campement</t>
  </si>
  <si>
    <t xml:space="preserve">5.30439, -3.94388</t>
  </si>
  <si>
    <t xml:space="preserve">Soweto</t>
  </si>
  <si>
    <t xml:space="preserve">5.28601, -3.95131</t>
  </si>
  <si>
    <t xml:space="preserve">Point à 57 m du lieu trouvé sur OpenStreetMap</t>
  </si>
  <si>
    <t xml:space="preserve">Ahoussabougou</t>
  </si>
  <si>
    <t xml:space="preserve">5.29388, -3.95973</t>
  </si>
  <si>
    <t xml:space="preserve">5.29268, -3.97293</t>
  </si>
  <si>
    <t xml:space="preserve">Baradji</t>
  </si>
  <si>
    <t xml:space="preserve">5.29796, -3.95860</t>
  </si>
  <si>
    <t xml:space="preserve">5.30038, -3.96444</t>
  </si>
  <si>
    <t xml:space="preserve">Koumassi 05</t>
  </si>
  <si>
    <t xml:space="preserve">5.31432, -3.94256</t>
  </si>
  <si>
    <t xml:space="preserve">PDV du quartier reconnu à 228 m du point</t>
  </si>
  <si>
    <t xml:space="preserve">Pangolin</t>
  </si>
  <si>
    <t xml:space="preserve">5.30092, -3.94658</t>
  </si>
  <si>
    <t xml:space="preserve">Point à 130 m du lieu trouvé sur OpenStreetMap</t>
  </si>
  <si>
    <t xml:space="preserve">Bia Sud</t>
  </si>
  <si>
    <t xml:space="preserve">5.28260, -3.96922</t>
  </si>
  <si>
    <t xml:space="preserve">PDV du quartier reconnu à 170 m du point</t>
  </si>
  <si>
    <t xml:space="preserve">Marché de Koumassi</t>
  </si>
  <si>
    <t xml:space="preserve">5.29278, -3.95828</t>
  </si>
  <si>
    <t xml:space="preserve">Point à 117 m du lieu trouvé sur OpenStreetMap</t>
  </si>
  <si>
    <t xml:space="preserve">3 Ampoules</t>
  </si>
  <si>
    <t xml:space="preserve">5.29710, -3.96220</t>
  </si>
  <si>
    <t xml:space="preserve">Marais</t>
  </si>
  <si>
    <t xml:space="preserve">5.30123, -3.95762</t>
  </si>
  <si>
    <t xml:space="preserve">PDV du quartier reconnu à 25 m du point</t>
  </si>
  <si>
    <t xml:space="preserve">Koumassi Fanny</t>
  </si>
  <si>
    <t xml:space="preserve">5.31222, -3.94839</t>
  </si>
  <si>
    <t xml:space="preserve">Point à 486 m du lieu trouvé sur OpenStreetMap</t>
  </si>
  <si>
    <t xml:space="preserve">Prodomo</t>
  </si>
  <si>
    <t xml:space="preserve">5.30046, -3.95064</t>
  </si>
  <si>
    <t xml:space="preserve">5.28335, -3.96499</t>
  </si>
  <si>
    <t xml:space="preserve">Quartier Adioukrou</t>
  </si>
  <si>
    <t xml:space="preserve">5.30800, -3.95200</t>
  </si>
  <si>
    <t xml:space="preserve">Kahira</t>
  </si>
  <si>
    <t xml:space="preserve">5.29646, -3.96754</t>
  </si>
  <si>
    <t xml:space="preserve">Point à 106 m du lieu trouvé sur OpenStreetMap</t>
  </si>
  <si>
    <t xml:space="preserve">Divo</t>
  </si>
  <si>
    <t xml:space="preserve">5.30680, -3.95019</t>
  </si>
  <si>
    <t xml:space="preserve">Koumassi 147</t>
  </si>
  <si>
    <t xml:space="preserve">5.30830, -3.94495</t>
  </si>
  <si>
    <t xml:space="preserve">PDV du quartier reconnu à 298 m du point</t>
  </si>
  <si>
    <t xml:space="preserve">Inchallah</t>
  </si>
  <si>
    <t xml:space="preserve">5.29874, -3.95523</t>
  </si>
  <si>
    <t xml:space="preserve">Grand carrefour</t>
  </si>
  <si>
    <t xml:space="preserve">5.28817, -3.96996</t>
  </si>
  <si>
    <t xml:space="preserve">OpenStreetMap propose « Grand Carrefour de Koumassi - Avant le feu » (trunk) à 1365 m du point de l'agence : lieu peu sûr</t>
  </si>
  <si>
    <t xml:space="preserve">5.27638, -3.96652 (« Grand Carrefour de Koumassi - Avant le feu »)</t>
  </si>
  <si>
    <t xml:space="preserve">Iroko</t>
  </si>
  <si>
    <t xml:space="preserve">5.29443, -3.96410</t>
  </si>
  <si>
    <t xml:space="preserve">Petroci</t>
  </si>
  <si>
    <t xml:space="preserve">5.29800, -3.94100</t>
  </si>
  <si>
    <t xml:space="preserve">OpenStreetMap propose « Petroci » (bus_stop) à 3123 m du point de l'agence : lieu peu sûr</t>
  </si>
  <si>
    <t xml:space="preserve">5.30171, -3.96896 (« Petroci »)</t>
  </si>
  <si>
    <t xml:space="preserve">OpenStreetMap propose « Pont sans fil Aliodan » (bridge) à 1244 m du point de l'agence : lieu peu sûr</t>
  </si>
  <si>
    <t xml:space="preserve">5.30577, -3.96406 (« Pont sans fil Aliodan »)</t>
  </si>
  <si>
    <t xml:space="preserve">Palmeraie Enica</t>
  </si>
  <si>
    <t xml:space="preserve">PLAISIR BACHUSS</t>
  </si>
  <si>
    <t xml:space="preserve">Atchory Augustin</t>
  </si>
  <si>
    <t xml:space="preserve">5.37911, -3.95342</t>
  </si>
  <si>
    <t xml:space="preserve">PDV du quartier reconnu à 28 m du point</t>
  </si>
  <si>
    <t xml:space="preserve">Cité Sir</t>
  </si>
  <si>
    <t xml:space="preserve">Jean François</t>
  </si>
  <si>
    <t xml:space="preserve">5.39183, -3.92960</t>
  </si>
  <si>
    <t xml:space="preserve">Angré Mahou 1</t>
  </si>
  <si>
    <t xml:space="preserve">Zézé Hilaire</t>
  </si>
  <si>
    <t xml:space="preserve">5.39500, -3.97800</t>
  </si>
  <si>
    <t xml:space="preserve">PDV du quartier reconnu à 112 m du point</t>
  </si>
  <si>
    <t xml:space="preserve">Djorobité 1</t>
  </si>
  <si>
    <t xml:space="preserve">Étienne</t>
  </si>
  <si>
    <t xml:space="preserve">5.40500, -3.93500</t>
  </si>
  <si>
    <t xml:space="preserve">Djorobité : le point de l'agence, OpenStreetMap et les PDV notés DJOROBITE donnent 3 endroits différents.</t>
  </si>
  <si>
    <t xml:space="preserve">5.39725, -3.93969 (« Carrefour Djorobité »)</t>
  </si>
  <si>
    <t xml:space="preserve">Djorobité 2</t>
  </si>
  <si>
    <t xml:space="preserve">5.41200, -3.92800</t>
  </si>
  <si>
    <t xml:space="preserve">Abatta</t>
  </si>
  <si>
    <t xml:space="preserve">Lidy</t>
  </si>
  <si>
    <t xml:space="preserve">5.32677, -3.91406</t>
  </si>
  <si>
    <t xml:space="preserve">PDV du quartier reconnu à 133 m du point</t>
  </si>
  <si>
    <t xml:space="preserve">Palmeraie Bonoumin</t>
  </si>
  <si>
    <t xml:space="preserve">5.36471, -3.97258</t>
  </si>
  <si>
    <t xml:space="preserve">PDV du quartier reconnu à 328 m du point</t>
  </si>
  <si>
    <t xml:space="preserve">Faya Ephrata</t>
  </si>
  <si>
    <t xml:space="preserve">5.37200, -3.94500</t>
  </si>
  <si>
    <t xml:space="preserve">Lieu introuvable sur OpenStreetMap ; PDV du quartier reconnu à 637 m du point</t>
  </si>
  <si>
    <t xml:space="preserve">Angré Mahou 2</t>
  </si>
  <si>
    <t xml:space="preserve">5.39650, -3.97650</t>
  </si>
  <si>
    <t xml:space="preserve">PDV du quartier reconnu à 109 m du point</t>
  </si>
  <si>
    <t xml:space="preserve">5.40600, -3.93400</t>
  </si>
  <si>
    <t xml:space="preserve">5.41300, -3.92700</t>
  </si>
  <si>
    <t xml:space="preserve">OpenStreetMap propose « Carrefour Djorobité » (bus_stop) à 2245 m du point de l'agence : lieu peu sûr</t>
  </si>
  <si>
    <t xml:space="preserve">Attoban</t>
  </si>
  <si>
    <t xml:space="preserve">5.36319, -3.97840</t>
  </si>
  <si>
    <t xml:space="preserve">Akouédo</t>
  </si>
  <si>
    <t xml:space="preserve">5.35226, -3.94070</t>
  </si>
  <si>
    <t xml:space="preserve">Terminus 81-82</t>
  </si>
  <si>
    <t xml:space="preserve">5.40483, -3.98515</t>
  </si>
  <si>
    <t xml:space="preserve">5.40700, -3.93300</t>
  </si>
  <si>
    <t xml:space="preserve">5.41400, -3.92600</t>
  </si>
  <si>
    <t xml:space="preserve">OpenStreetMap propose « Carrefour Djorobité » (bus_stop) à 2401 m du point de l'agence : lieu peu sûr</t>
  </si>
  <si>
    <t xml:space="preserve">Abatta village</t>
  </si>
  <si>
    <t xml:space="preserve">5.32830, -3.91674</t>
  </si>
  <si>
    <t xml:space="preserve">Angré 8e tranche</t>
  </si>
  <si>
    <t xml:space="preserve">5.38642, -3.97481</t>
  </si>
  <si>
    <t xml:space="preserve">PDV du quartier reconnu à 53 m du point</t>
  </si>
  <si>
    <t xml:space="preserve">Akouédo Attié</t>
  </si>
  <si>
    <t xml:space="preserve">5.35714, -3.92910</t>
  </si>
  <si>
    <t xml:space="preserve">Point à 335 m du lieu trouvé sur OpenStreetMap</t>
  </si>
  <si>
    <t xml:space="preserve">Angré Château</t>
  </si>
  <si>
    <t xml:space="preserve">5.41280, -3.98088</t>
  </si>
  <si>
    <t xml:space="preserve">Angré CHU</t>
  </si>
  <si>
    <t xml:space="preserve">5.40090, -3.95756</t>
  </si>
  <si>
    <t xml:space="preserve">Point à 19 m du lieu trouvé sur OpenStreetMap</t>
  </si>
  <si>
    <t xml:space="preserve">5.41500, -3.92500</t>
  </si>
  <si>
    <t xml:space="preserve">OpenStreetMap propose « Carrefour Djorobité » (bus_stop) à 2557 m du point de l'agence : lieu peu sûr</t>
  </si>
  <si>
    <t xml:space="preserve">Akeikoi</t>
  </si>
  <si>
    <t xml:space="preserve">Abobo</t>
  </si>
  <si>
    <t xml:space="preserve">ETABLISSEMENT NIARE &amp; FRERES</t>
  </si>
  <si>
    <t xml:space="preserve">Diaby Ismaël</t>
  </si>
  <si>
    <t xml:space="preserve">5.44839, -4.00615</t>
  </si>
  <si>
    <t xml:space="preserve">Avocatier le Grand</t>
  </si>
  <si>
    <t xml:space="preserve">Kouassi Apollinaire</t>
  </si>
  <si>
    <t xml:space="preserve">5.43100, -4.02800</t>
  </si>
  <si>
    <t xml:space="preserve">Mairie</t>
  </si>
  <si>
    <t xml:space="preserve">N'Guessan Guy Serge</t>
  </si>
  <si>
    <t xml:space="preserve">5.42117, -4.01670</t>
  </si>
  <si>
    <t xml:space="preserve">Point à 88 m du lieu trouvé sur OpenStreetMap</t>
  </si>
  <si>
    <t xml:space="preserve">Agbékoi</t>
  </si>
  <si>
    <t xml:space="preserve">5.43716, -4.00460</t>
  </si>
  <si>
    <t xml:space="preserve">Pharmacie Lamé</t>
  </si>
  <si>
    <t xml:space="preserve">5.42500, -4.00900</t>
  </si>
  <si>
    <t xml:space="preserve">Nouvelle gare</t>
  </si>
  <si>
    <t xml:space="preserve">5.43923, -4.04209</t>
  </si>
  <si>
    <t xml:space="preserve">Point à 149 m du lieu trouvé sur OpenStreetMap</t>
  </si>
  <si>
    <t xml:space="preserve">Djibi</t>
  </si>
  <si>
    <t xml:space="preserve">5.42202, -3.98193</t>
  </si>
  <si>
    <t xml:space="preserve">OpenStreetMap « Djibi Village » : aucun PDV autour de ce point. Lieu à préciser.</t>
  </si>
  <si>
    <t xml:space="preserve">5.45613, -3.97275 (« Djibi Village »)</t>
  </si>
  <si>
    <t xml:space="preserve">Niamké</t>
  </si>
  <si>
    <t xml:space="preserve">5.42200, -4.01500</t>
  </si>
  <si>
    <t xml:space="preserve">Musée d'Abobo</t>
  </si>
  <si>
    <t xml:space="preserve">5.41800, -4.01200</t>
  </si>
  <si>
    <t xml:space="preserve">Point à 773 m du lieu trouvé sur OpenStreetMap</t>
  </si>
  <si>
    <t xml:space="preserve">Habitat</t>
  </si>
  <si>
    <t xml:space="preserve">5.43280, -4.00951</t>
  </si>
  <si>
    <t xml:space="preserve">14e arrondissement</t>
  </si>
  <si>
    <t xml:space="preserve">5.42314, -4.01481</t>
  </si>
  <si>
    <t xml:space="preserve">Avocatier marché de nuit</t>
  </si>
  <si>
    <t xml:space="preserve">5.43669, -4.02980</t>
  </si>
  <si>
    <t xml:space="preserve">Houphouët-Boigny</t>
  </si>
  <si>
    <t xml:space="preserve">5.44349, -4.00884</t>
  </si>
  <si>
    <t xml:space="preserve">BC</t>
  </si>
  <si>
    <t xml:space="preserve">5.44587, -4.02070</t>
  </si>
  <si>
    <t xml:space="preserve">PDV du quartier reconnu à 40 m du point</t>
  </si>
  <si>
    <t xml:space="preserve">Gendarmerie</t>
  </si>
  <si>
    <t xml:space="preserve">5.42753, -4.02065</t>
  </si>
  <si>
    <t xml:space="preserve">Point à 91 m du lieu trouvé sur OpenStreetMap</t>
  </si>
  <si>
    <t xml:space="preserve">Abobo 4 étages</t>
  </si>
  <si>
    <t xml:space="preserve">5.43806, -4.00843</t>
  </si>
  <si>
    <t xml:space="preserve">Lieu introuvable sur OpenStreetMap ; PDV du quartier reconnu à 625 m du point</t>
  </si>
  <si>
    <t xml:space="preserve">Mâle</t>
  </si>
  <si>
    <t xml:space="preserve">5.41400, -4.02100</t>
  </si>
  <si>
    <t xml:space="preserve">OpenStreetMap propose « Groupe Scolaire Male Gbinde Akeikoi extension » (school) à 4470 m du point de l'agence : lieu peu sûr</t>
  </si>
  <si>
    <t xml:space="preserve">5.45183, -4.00735 (« Groupe Scolaire Male Gbinde Akeikoi extension »)</t>
  </si>
  <si>
    <t xml:space="preserve">Château</t>
  </si>
  <si>
    <t xml:space="preserve">5.43800, -4.01900</t>
  </si>
  <si>
    <t xml:space="preserve">OpenStreetMap propose « Château » (bus_stop) à 7599 m du point de l'agence : lieu peu sûr</t>
  </si>
  <si>
    <t xml:space="preserve">5.46404, -4.08247 (« Château »)</t>
  </si>
  <si>
    <t xml:space="preserve">Quartier Yacouba</t>
  </si>
  <si>
    <t xml:space="preserve">5.41200, -4.01800</t>
  </si>
  <si>
    <t xml:space="preserve">Avocatier 32e arrondissement</t>
  </si>
  <si>
    <t xml:space="preserve">5.43793, -4.02926</t>
  </si>
  <si>
    <t xml:space="preserve">Lycée moderne Abobo</t>
  </si>
  <si>
    <t xml:space="preserve">5.42823, -4.01330</t>
  </si>
  <si>
    <t xml:space="preserve">Point à 222 m du lieu trouvé sur OpenStreetMap</t>
  </si>
  <si>
    <t xml:space="preserve">Plaque 1</t>
  </si>
  <si>
    <t xml:space="preserve">5.43545, -4.00674</t>
  </si>
  <si>
    <t xml:space="preserve">Gare Abobo</t>
  </si>
  <si>
    <t xml:space="preserve">5.41650, -4.01500</t>
  </si>
  <si>
    <t xml:space="preserve">Point à 662 m du lieu trouvé sur OpenStreetMap</t>
  </si>
  <si>
    <t xml:space="preserve">Palais de justice</t>
  </si>
  <si>
    <t xml:space="preserve">5.44525, -4.01999</t>
  </si>
  <si>
    <t xml:space="preserve">Point à 20 m du lieu trouvé sur OpenStreetMap</t>
  </si>
  <si>
    <t xml:space="preserve">Anador</t>
  </si>
  <si>
    <t xml:space="preserve">Yapi Athanase</t>
  </si>
  <si>
    <t xml:space="preserve">5.41079, -4.01425</t>
  </si>
  <si>
    <t xml:space="preserve">Cité policière</t>
  </si>
  <si>
    <t xml:space="preserve">Éloi Somé</t>
  </si>
  <si>
    <t xml:space="preserve">5.43550, -4.01713</t>
  </si>
  <si>
    <t xml:space="preserve">Point à 80 m du lieu trouvé sur OpenStreetMap</t>
  </si>
  <si>
    <t xml:space="preserve">Samaké</t>
  </si>
  <si>
    <t xml:space="preserve">Zahoury Bi Boué Hervé</t>
  </si>
  <si>
    <t xml:space="preserve">5.41638, -4.00672</t>
  </si>
  <si>
    <t xml:space="preserve">Alépé</t>
  </si>
  <si>
    <t xml:space="preserve">5.43200, -3.99800</t>
  </si>
  <si>
    <t xml:space="preserve">OpenStreetMap propose « Route d'Alépé » (secondary) à 4343 m du point de l'agence : lieu peu sûr</t>
  </si>
  <si>
    <t xml:space="preserve">5.46069, -3.97138 (« Route d'Alépé »)</t>
  </si>
  <si>
    <t xml:space="preserve">N'Dotré</t>
  </si>
  <si>
    <t xml:space="preserve">5.44854, -4.07073</t>
  </si>
  <si>
    <t xml:space="preserve">Point à 360 m du lieu trouvé sur OpenStreetMap</t>
  </si>
  <si>
    <t xml:space="preserve">Biabou</t>
  </si>
  <si>
    <t xml:space="preserve">5.44040, -3.98388</t>
  </si>
  <si>
    <t xml:space="preserve">Dokui</t>
  </si>
  <si>
    <t xml:space="preserve">5.39617, -4.00096</t>
  </si>
  <si>
    <t xml:space="preserve">Point à 984 m du lieu trouvé sur OpenStreetMap</t>
  </si>
  <si>
    <t xml:space="preserve">Colatier</t>
  </si>
  <si>
    <t xml:space="preserve">5.47952, -4.05357</t>
  </si>
  <si>
    <t xml:space="preserve">OpenStreetMap propose « EPV Colatier » (school) à 2261 m du point de l'agence : lieu peu sûr</t>
  </si>
  <si>
    <t xml:space="preserve">5.45936, -4.05088 (« EPV Colatier »)</t>
  </si>
  <si>
    <t xml:space="preserve">Kennedy</t>
  </si>
  <si>
    <t xml:space="preserve">5.41948, -4.00835</t>
  </si>
  <si>
    <t xml:space="preserve">Azur</t>
  </si>
  <si>
    <t xml:space="preserve">5.39950, -4.00649</t>
  </si>
  <si>
    <t xml:space="preserve">Anyama</t>
  </si>
  <si>
    <t xml:space="preserve">5.49610, -4.05120</t>
  </si>
  <si>
    <t xml:space="preserve">PDV du quartier reconnu à 92 m du point</t>
  </si>
  <si>
    <t xml:space="preserve">Kennedy 2</t>
  </si>
  <si>
    <t xml:space="preserve">5.43500, -4.02200</t>
  </si>
  <si>
    <t xml:space="preserve">OpenStreetMap « Kennedy »</t>
  </si>
  <si>
    <t xml:space="preserve">Belle vie</t>
  </si>
  <si>
    <t xml:space="preserve">5.44100, -4.03200</t>
  </si>
  <si>
    <t xml:space="preserve">Lieu introuvable sur OpenStreetMap ; PDV du quartier reconnu à 4418 m du point</t>
  </si>
  <si>
    <t xml:space="preserve">Camp commando</t>
  </si>
  <si>
    <t xml:space="preserve">5.43562, -4.02026</t>
  </si>
  <si>
    <t xml:space="preserve">Point à 58 m du lieu trouvé sur OpenStreetMap</t>
  </si>
  <si>
    <t xml:space="preserve">Abobo Baoulé</t>
  </si>
  <si>
    <t xml:space="preserve">5.43429, -3.99602</t>
  </si>
  <si>
    <t xml:space="preserve">Anador 2</t>
  </si>
  <si>
    <t xml:space="preserve">5.40870, -4.01022</t>
  </si>
  <si>
    <t xml:space="preserve">5.42100, -4.02500</t>
  </si>
  <si>
    <t xml:space="preserve">Centre des PDV notés ANADOR (le point OSM « Anador » donnait surtout ABOBO CENTRE / SAMAKE)</t>
  </si>
  <si>
    <t xml:space="preserve">Cazar</t>
  </si>
  <si>
    <t xml:space="preserve">5.45800, -4.04800</t>
  </si>
  <si>
    <t xml:space="preserve">Colochat</t>
  </si>
  <si>
    <t xml:space="preserve">5.44800, -4.03800</t>
  </si>
  <si>
    <t xml:space="preserve">Djibi village</t>
  </si>
  <si>
    <t xml:space="preserve">5.45613, -3.97275</t>
  </si>
  <si>
    <t xml:space="preserve">CMPC</t>
  </si>
  <si>
    <t xml:space="preserve">5.45100, -4.04100</t>
  </si>
  <si>
    <t xml:space="preserve">Abobote</t>
  </si>
  <si>
    <t xml:space="preserve">5.41012, -4.00146</t>
  </si>
  <si>
    <t xml:space="preserve">Point à 630 m du lieu trouvé sur OpenStreetMap</t>
  </si>
  <si>
    <t xml:space="preserve">Abobo Belle vie</t>
  </si>
  <si>
    <t xml:space="preserve">5.44250, -4.03050</t>
  </si>
  <si>
    <t xml:space="preserve">Lieu introuvable sur OpenStreetMap ; PDV du quartier reconnu à 1886 m du point</t>
  </si>
  <si>
    <t xml:space="preserve">CMPC 2</t>
  </si>
  <si>
    <t xml:space="preserve">5.45250, -4.03950</t>
  </si>
  <si>
    <t xml:space="preserve">Abobo Baoulé 2</t>
  </si>
  <si>
    <t xml:space="preserve">5.41100, -3.99200</t>
  </si>
  <si>
    <t xml:space="preserve">PDV du quartier reconnu à 480 m du point</t>
  </si>
  <si>
    <t xml:space="preserve">Zone industrielle</t>
  </si>
  <si>
    <t xml:space="preserve">NOUVEAUX DISTRIBUTEURS ASSOCIES</t>
  </si>
  <si>
    <t xml:space="preserve">5.37441, -4.08454</t>
  </si>
  <si>
    <t xml:space="preserve">Gesco</t>
  </si>
  <si>
    <t xml:space="preserve">5.36538, -4.10399</t>
  </si>
  <si>
    <t xml:space="preserve">Songon</t>
  </si>
  <si>
    <t xml:space="preserve">5.32490, -4.25167</t>
  </si>
  <si>
    <t xml:space="preserve">Lubafrik</t>
  </si>
  <si>
    <t xml:space="preserve">5.31966, -4.10706</t>
  </si>
  <si>
    <t xml:space="preserve">5.37100, -4.08900</t>
  </si>
  <si>
    <t xml:space="preserve">Maroc 1</t>
  </si>
  <si>
    <t xml:space="preserve">5.33942, -4.09920</t>
  </si>
  <si>
    <t xml:space="preserve">5.34850, -4.07220</t>
  </si>
  <si>
    <t xml:space="preserve">OpenStreetMap « Quartier Maroc »</t>
  </si>
  <si>
    <t xml:space="preserve">Andokoi 1</t>
  </si>
  <si>
    <t xml:space="preserve">5.36607, -4.06824</t>
  </si>
  <si>
    <t xml:space="preserve">5.37800, -4.07200</t>
  </si>
  <si>
    <t xml:space="preserve">OpenStreetMap « Andokoi »</t>
  </si>
  <si>
    <t xml:space="preserve">Ananeraie LKM</t>
  </si>
  <si>
    <t xml:space="preserve">5.35616, -4.10138</t>
  </si>
  <si>
    <t xml:space="preserve">PDV du quartier reconnu à 297 m du point</t>
  </si>
  <si>
    <t xml:space="preserve">Cité verte</t>
  </si>
  <si>
    <t xml:space="preserve">5.33452, -4.11165</t>
  </si>
  <si>
    <t xml:space="preserve">Académie</t>
  </si>
  <si>
    <t xml:space="preserve">5.31658, -4.11275</t>
  </si>
  <si>
    <t xml:space="preserve">Siporex</t>
  </si>
  <si>
    <t xml:space="preserve">5.35417, -4.07457</t>
  </si>
  <si>
    <t xml:space="preserve">Maroc 2</t>
  </si>
  <si>
    <t xml:space="preserve">5.35200, -4.07550</t>
  </si>
  <si>
    <t xml:space="preserve">Andokoi 2</t>
  </si>
  <si>
    <t xml:space="preserve">5.37950, -4.07050</t>
  </si>
  <si>
    <t xml:space="preserve">Ananeraie Entenne</t>
  </si>
  <si>
    <t xml:space="preserve">5.35700, -4.10300</t>
  </si>
  <si>
    <t xml:space="preserve">PDV du quartier reconnu à 499 m du point</t>
  </si>
  <si>
    <t xml:space="preserve">Lièvre rouge</t>
  </si>
  <si>
    <t xml:space="preserve">5.33627, -4.10793</t>
  </si>
  <si>
    <t xml:space="preserve">Lokoa</t>
  </si>
  <si>
    <t xml:space="preserve">5.31120, -4.10383</t>
  </si>
  <si>
    <t xml:space="preserve">Port-Bouët 2 (1)</t>
  </si>
  <si>
    <t xml:space="preserve">5.34983, -4.08868</t>
  </si>
  <si>
    <t xml:space="preserve">5.34100, -4.06800</t>
  </si>
  <si>
    <t xml:space="preserve">Centre des PDV notés PORT BOUET 2 (le point OSM « Port-Bouët II » tombait sur des PDV notés MAROC)</t>
  </si>
  <si>
    <t xml:space="preserve">Maroc 3</t>
  </si>
  <si>
    <t xml:space="preserve">5.35550, -4.07880</t>
  </si>
  <si>
    <t xml:space="preserve">Micao</t>
  </si>
  <si>
    <t xml:space="preserve">5.38160, -4.09776</t>
  </si>
  <si>
    <t xml:space="preserve">Batim (1-2-3)</t>
  </si>
  <si>
    <t xml:space="preserve">5.36100, -4.09500</t>
  </si>
  <si>
    <t xml:space="preserve">Point à 345 m du lieu trouvé sur OpenStreetMap</t>
  </si>
  <si>
    <t xml:space="preserve">Bagnon</t>
  </si>
  <si>
    <t xml:space="preserve">5.34044, -4.10982</t>
  </si>
  <si>
    <t xml:space="preserve">Point à 405 m du lieu trouvé sur OpenStreetMap</t>
  </si>
  <si>
    <t xml:space="preserve">Texaco</t>
  </si>
  <si>
    <t xml:space="preserve">5.32644, -4.09143</t>
  </si>
  <si>
    <t xml:space="preserve">Point à 128 m du lieu trouvé sur OpenStreetMap</t>
  </si>
  <si>
    <t xml:space="preserve">Port-Bouët 2 (2)</t>
  </si>
  <si>
    <t xml:space="preserve">5.34250, -4.06650</t>
  </si>
  <si>
    <t xml:space="preserve">Maroc 4</t>
  </si>
  <si>
    <t xml:space="preserve">5.35900, -4.08200</t>
  </si>
  <si>
    <t xml:space="preserve">Date</t>
  </si>
  <si>
    <t xml:space="preserve">Semaine selon l'application (jours 1-7 = S1)</t>
  </si>
  <si>
    <t xml:space="preserve">Semaine si on compte à partir du 1er lundi</t>
  </si>
  <si>
    <t xml:space="preserve">Semaine selon Atom</t>
  </si>
  <si>
    <t xml:space="preserve">Ligne en gras : samedi 17/10. Colonne D = semaine du lundi de la date (du 1er au 4/10, ce lundi est le 28/09, donc semaine 4 de septembre).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</si>
</sst>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dd/mm/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10"/>
      <name val="Arial"/>
      <family val="2"/>
    </font>
    <font>
      <i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DDEBF7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www.google.com/maps?q=5.35800,-4.02100" TargetMode="External"/><Relationship Id="rId3" Type="http://schemas.openxmlformats.org/officeDocument/2006/relationships/hyperlink" Target="https://www.google.com/maps?q=5.36023,-4.03334" TargetMode="External"/><Relationship Id="rId4" Type="http://schemas.openxmlformats.org/officeDocument/2006/relationships/hyperlink" Target="https://www.google.com/maps?q=5.35529,-4.02076" TargetMode="External"/><Relationship Id="rId5" Type="http://schemas.openxmlformats.org/officeDocument/2006/relationships/hyperlink" Target="https://www.google.com/maps?q=5.37671,-4.01332" TargetMode="External"/><Relationship Id="rId6" Type="http://schemas.openxmlformats.org/officeDocument/2006/relationships/hyperlink" Target="https://www.google.com/maps?q=5.36400,-4.02400" TargetMode="External"/><Relationship Id="rId7" Type="http://schemas.openxmlformats.org/officeDocument/2006/relationships/hyperlink" Target="https://www.google.com/maps?q=5.36160,-4.02523" TargetMode="External"/><Relationship Id="rId8" Type="http://schemas.openxmlformats.org/officeDocument/2006/relationships/hyperlink" Target="https://www.google.com/maps?q=5.35950,-4.02250" TargetMode="External"/><Relationship Id="rId9" Type="http://schemas.openxmlformats.org/officeDocument/2006/relationships/hyperlink" Target="https://www.google.com/maps?q=5.33700,-4.03200" TargetMode="External"/><Relationship Id="rId10" Type="http://schemas.openxmlformats.org/officeDocument/2006/relationships/hyperlink" Target="https://www.google.com/maps?q=5.34191,-4.02370" TargetMode="External"/><Relationship Id="rId11" Type="http://schemas.openxmlformats.org/officeDocument/2006/relationships/hyperlink" Target="https://www.google.com/maps?q=5.37375,-4.02510" TargetMode="External"/><Relationship Id="rId12" Type="http://schemas.openxmlformats.org/officeDocument/2006/relationships/hyperlink" Target="https://www.google.com/maps?q=5.34927,-4.03242" TargetMode="External"/><Relationship Id="rId13" Type="http://schemas.openxmlformats.org/officeDocument/2006/relationships/hyperlink" Target="https://www.google.com/maps?q=5.34191,-4.02370" TargetMode="External"/><Relationship Id="rId14" Type="http://schemas.openxmlformats.org/officeDocument/2006/relationships/hyperlink" Target="https://www.google.com/maps?q=5.36160,-4.02523" TargetMode="External"/><Relationship Id="rId15" Type="http://schemas.openxmlformats.org/officeDocument/2006/relationships/hyperlink" Target="https://www.google.com/maps?q=5.33850,-4.03350" TargetMode="External"/><Relationship Id="rId16" Type="http://schemas.openxmlformats.org/officeDocument/2006/relationships/hyperlink" Target="https://www.google.com/maps?q=5.34548,-4.02202" TargetMode="External"/><Relationship Id="rId17" Type="http://schemas.openxmlformats.org/officeDocument/2006/relationships/hyperlink" Target="https://www.google.com/maps?q=5.38519,-4.00601" TargetMode="External"/><Relationship Id="rId18" Type="http://schemas.openxmlformats.org/officeDocument/2006/relationships/hyperlink" Target="https://www.google.com/maps?q=5.34927,-4.03242" TargetMode="External"/><Relationship Id="rId19" Type="http://schemas.openxmlformats.org/officeDocument/2006/relationships/hyperlink" Target="https://www.google.com/maps?q=5.33850,-4.03350" TargetMode="External"/><Relationship Id="rId20" Type="http://schemas.openxmlformats.org/officeDocument/2006/relationships/hyperlink" Target="https://www.google.com/maps?q=5.35350,-4.02650" TargetMode="External"/><Relationship Id="rId21" Type="http://schemas.openxmlformats.org/officeDocument/2006/relationships/hyperlink" Target="https://www.google.com/maps?q=5.34000,-4.03100" TargetMode="External"/><Relationship Id="rId22" Type="http://schemas.openxmlformats.org/officeDocument/2006/relationships/hyperlink" Target="https://www.google.com/maps?q=5.34191,-4.02370" TargetMode="External"/><Relationship Id="rId23" Type="http://schemas.openxmlformats.org/officeDocument/2006/relationships/hyperlink" Target="https://www.google.com/maps?q=5.38132,-4.00742" TargetMode="External"/><Relationship Id="rId24" Type="http://schemas.openxmlformats.org/officeDocument/2006/relationships/hyperlink" Target="https://www.google.com/maps?q=5.34325,-4.02980" TargetMode="External"/><Relationship Id="rId25" Type="http://schemas.openxmlformats.org/officeDocument/2006/relationships/hyperlink" Target="https://www.google.com/maps?q=5.35080,-4.02050" TargetMode="External"/><Relationship Id="rId26" Type="http://schemas.openxmlformats.org/officeDocument/2006/relationships/hyperlink" Target="https://www.google.com/maps?q=5.35705,-4.06819" TargetMode="External"/><Relationship Id="rId27" Type="http://schemas.openxmlformats.org/officeDocument/2006/relationships/hyperlink" Target="https://www.google.com/maps?q=5.32358,-4.09822" TargetMode="External"/><Relationship Id="rId28" Type="http://schemas.openxmlformats.org/officeDocument/2006/relationships/hyperlink" Target="https://www.google.com/maps?q=5.34037,-4.07002" TargetMode="External"/><Relationship Id="rId29" Type="http://schemas.openxmlformats.org/officeDocument/2006/relationships/hyperlink" Target="https://www.google.com/maps?q=5.32218,-4.05427" TargetMode="External"/><Relationship Id="rId30" Type="http://schemas.openxmlformats.org/officeDocument/2006/relationships/hyperlink" Target="https://www.google.com/maps?q=5.32412,-4.06695" TargetMode="External"/><Relationship Id="rId31" Type="http://schemas.openxmlformats.org/officeDocument/2006/relationships/hyperlink" Target="https://www.google.com/maps?q=5.33219,-4.08947" TargetMode="External"/><Relationship Id="rId32" Type="http://schemas.openxmlformats.org/officeDocument/2006/relationships/hyperlink" Target="https://www.google.com/maps?q=5.35429,-4.06024" TargetMode="External"/><Relationship Id="rId33" Type="http://schemas.openxmlformats.org/officeDocument/2006/relationships/hyperlink" Target="https://www.google.com/maps?q=5.32157,-4.06465" TargetMode="External"/><Relationship Id="rId34" Type="http://schemas.openxmlformats.org/officeDocument/2006/relationships/hyperlink" Target="https://www.google.com/maps?q=5.34409,-4.07743" TargetMode="External"/><Relationship Id="rId35" Type="http://schemas.openxmlformats.org/officeDocument/2006/relationships/hyperlink" Target="https://www.google.com/maps?q=5.32122,-4.05446" TargetMode="External"/><Relationship Id="rId36" Type="http://schemas.openxmlformats.org/officeDocument/2006/relationships/hyperlink" Target="https://www.google.com/maps?q=5.32514,-4.07331" TargetMode="External"/><Relationship Id="rId37" Type="http://schemas.openxmlformats.org/officeDocument/2006/relationships/hyperlink" Target="https://www.google.com/maps?q=5.32641,-4.04112" TargetMode="External"/><Relationship Id="rId38" Type="http://schemas.openxmlformats.org/officeDocument/2006/relationships/hyperlink" Target="https://www.google.com/maps?q=5.33959,-4.05924" TargetMode="External"/><Relationship Id="rId39" Type="http://schemas.openxmlformats.org/officeDocument/2006/relationships/hyperlink" Target="https://www.google.com/maps?q=5.33100,-4.08400" TargetMode="External"/><Relationship Id="rId40" Type="http://schemas.openxmlformats.org/officeDocument/2006/relationships/hyperlink" Target="https://www.google.com/maps?q=5.34141,-4.06502" TargetMode="External"/><Relationship Id="rId41" Type="http://schemas.openxmlformats.org/officeDocument/2006/relationships/hyperlink" Target="https://www.google.com/maps?q=5.32250,-4.09400" TargetMode="External"/><Relationship Id="rId42" Type="http://schemas.openxmlformats.org/officeDocument/2006/relationships/hyperlink" Target="https://www.google.com/maps?q=5.30756,-4.07007" TargetMode="External"/><Relationship Id="rId43" Type="http://schemas.openxmlformats.org/officeDocument/2006/relationships/hyperlink" Target="https://www.google.com/maps?q=5.34099,-4.04635" TargetMode="External"/><Relationship Id="rId44" Type="http://schemas.openxmlformats.org/officeDocument/2006/relationships/hyperlink" Target="https://www.google.com/maps?q=5.33133,-4.05500" TargetMode="External"/><Relationship Id="rId45" Type="http://schemas.openxmlformats.org/officeDocument/2006/relationships/hyperlink" Target="https://www.google.com/maps?q=5.33300,-4.08800" TargetMode="External"/><Relationship Id="rId46" Type="http://schemas.openxmlformats.org/officeDocument/2006/relationships/hyperlink" Target="https://www.google.com/maps?q=5.34811,-4.06675" TargetMode="External"/><Relationship Id="rId47" Type="http://schemas.openxmlformats.org/officeDocument/2006/relationships/hyperlink" Target="https://www.google.com/maps?q=5.30913,-4.04012" TargetMode="External"/><Relationship Id="rId48" Type="http://schemas.openxmlformats.org/officeDocument/2006/relationships/hyperlink" Target="https://www.google.com/maps?q=5.30152,-4.08161" TargetMode="External"/><Relationship Id="rId49" Type="http://schemas.openxmlformats.org/officeDocument/2006/relationships/hyperlink" Target="https://www.google.com/maps?q=5.31344,-4.00484" TargetMode="External"/><Relationship Id="rId50" Type="http://schemas.openxmlformats.org/officeDocument/2006/relationships/hyperlink" Target="https://www.google.com/maps?q=5.30100,-4.00500" TargetMode="External"/><Relationship Id="rId51" Type="http://schemas.openxmlformats.org/officeDocument/2006/relationships/hyperlink" Target="https://www.google.com/maps?q=5.27768,-3.97499" TargetMode="External"/><Relationship Id="rId52" Type="http://schemas.openxmlformats.org/officeDocument/2006/relationships/hyperlink" Target="https://www.google.com/maps?q=5.29900,-3.98184" TargetMode="External"/><Relationship Id="rId53" Type="http://schemas.openxmlformats.org/officeDocument/2006/relationships/hyperlink" Target="https://www.google.com/maps?q=5.30229,-3.98481" TargetMode="External"/><Relationship Id="rId54" Type="http://schemas.openxmlformats.org/officeDocument/2006/relationships/hyperlink" Target="https://www.google.com/maps?q=5.30400,-3.99200" TargetMode="External"/><Relationship Id="rId55" Type="http://schemas.openxmlformats.org/officeDocument/2006/relationships/hyperlink" Target="https://www.google.com/maps?q=5.29995,-4.00339" TargetMode="External"/><Relationship Id="rId56" Type="http://schemas.openxmlformats.org/officeDocument/2006/relationships/hyperlink" Target="https://www.google.com/maps?q=5.29905,-4.00329" TargetMode="External"/><Relationship Id="rId57" Type="http://schemas.openxmlformats.org/officeDocument/2006/relationships/hyperlink" Target="https://www.google.com/maps?q=5.29194,-3.98127" TargetMode="External"/><Relationship Id="rId58" Type="http://schemas.openxmlformats.org/officeDocument/2006/relationships/hyperlink" Target="https://www.google.com/maps?q=5.30966,-3.96822" TargetMode="External"/><Relationship Id="rId59" Type="http://schemas.openxmlformats.org/officeDocument/2006/relationships/hyperlink" Target="https://www.google.com/maps?q=5.30708,-3.96405" TargetMode="External"/><Relationship Id="rId60" Type="http://schemas.openxmlformats.org/officeDocument/2006/relationships/hyperlink" Target="https://www.google.com/maps?q=5.29836,-3.98486" TargetMode="External"/><Relationship Id="rId61" Type="http://schemas.openxmlformats.org/officeDocument/2006/relationships/hyperlink" Target="https://www.google.com/maps?q=5.30614,-4.00926" TargetMode="External"/><Relationship Id="rId62" Type="http://schemas.openxmlformats.org/officeDocument/2006/relationships/hyperlink" Target="https://www.google.com/maps?q=5.30465,-3.99702" TargetMode="External"/><Relationship Id="rId63" Type="http://schemas.openxmlformats.org/officeDocument/2006/relationships/hyperlink" Target="https://www.google.com/maps?q=5.31154,-3.99374" TargetMode="External"/><Relationship Id="rId64" Type="http://schemas.openxmlformats.org/officeDocument/2006/relationships/hyperlink" Target="https://www.google.com/maps?q=5.30500,-3.98200" TargetMode="External"/><Relationship Id="rId65" Type="http://schemas.openxmlformats.org/officeDocument/2006/relationships/hyperlink" Target="https://www.google.com/maps?q=5.30509,-3.99259" TargetMode="External"/><Relationship Id="rId66" Type="http://schemas.openxmlformats.org/officeDocument/2006/relationships/hyperlink" Target="https://www.google.com/maps?q=5.29100,-3.98500" TargetMode="External"/><Relationship Id="rId67" Type="http://schemas.openxmlformats.org/officeDocument/2006/relationships/hyperlink" Target="https://www.google.com/maps?q=5.29158,-4.00357" TargetMode="External"/><Relationship Id="rId68" Type="http://schemas.openxmlformats.org/officeDocument/2006/relationships/hyperlink" Target="https://www.google.com/maps?q=5.28500,-4.01500" TargetMode="External"/><Relationship Id="rId69" Type="http://schemas.openxmlformats.org/officeDocument/2006/relationships/hyperlink" Target="https://www.google.com/maps?q=5.30709,-3.96364" TargetMode="External"/><Relationship Id="rId70" Type="http://schemas.openxmlformats.org/officeDocument/2006/relationships/hyperlink" Target="https://www.google.com/maps?q=5.30200,-3.98800" TargetMode="External"/><Relationship Id="rId71" Type="http://schemas.openxmlformats.org/officeDocument/2006/relationships/hyperlink" Target="https://www.google.com/maps?q=5.29800,-3.97900" TargetMode="External"/><Relationship Id="rId72" Type="http://schemas.openxmlformats.org/officeDocument/2006/relationships/hyperlink" Target="https://www.google.com/maps?q=5.30185,-3.97515" TargetMode="External"/><Relationship Id="rId73" Type="http://schemas.openxmlformats.org/officeDocument/2006/relationships/hyperlink" Target="https://www.google.com/maps?q=5.37529,-4.00395" TargetMode="External"/><Relationship Id="rId74" Type="http://schemas.openxmlformats.org/officeDocument/2006/relationships/hyperlink" Target="https://www.google.com/maps?q=5.35120,-3.96016" TargetMode="External"/><Relationship Id="rId75" Type="http://schemas.openxmlformats.org/officeDocument/2006/relationships/hyperlink" Target="https://www.google.com/maps?q=5.37800,-3.98500" TargetMode="External"/><Relationship Id="rId76" Type="http://schemas.openxmlformats.org/officeDocument/2006/relationships/hyperlink" Target="https://www.google.com/maps?q=5.32697,-3.95611" TargetMode="External"/><Relationship Id="rId77" Type="http://schemas.openxmlformats.org/officeDocument/2006/relationships/hyperlink" Target="https://www.google.com/maps?q=5.33500,-4.00300" TargetMode="External"/><Relationship Id="rId78" Type="http://schemas.openxmlformats.org/officeDocument/2006/relationships/hyperlink" Target="https://www.google.com/maps?q=5.37529,-4.00395" TargetMode="External"/><Relationship Id="rId79" Type="http://schemas.openxmlformats.org/officeDocument/2006/relationships/hyperlink" Target="https://www.google.com/maps?q=5.36200,-3.99200" TargetMode="External"/><Relationship Id="rId80" Type="http://schemas.openxmlformats.org/officeDocument/2006/relationships/hyperlink" Target="https://www.google.com/maps?q=5.34200,-3.96800" TargetMode="External"/><Relationship Id="rId81" Type="http://schemas.openxmlformats.org/officeDocument/2006/relationships/hyperlink" Target="https://www.google.com/maps?q=5.35800,-3.99100" TargetMode="External"/><Relationship Id="rId82" Type="http://schemas.openxmlformats.org/officeDocument/2006/relationships/hyperlink" Target="https://www.google.com/maps?q=5.34800,-3.95500" TargetMode="External"/><Relationship Id="rId83" Type="http://schemas.openxmlformats.org/officeDocument/2006/relationships/hyperlink" Target="https://www.google.com/maps?q=5.35100,-3.96200" TargetMode="External"/><Relationship Id="rId84" Type="http://schemas.openxmlformats.org/officeDocument/2006/relationships/hyperlink" Target="https://www.google.com/maps?q=5.34200,-3.96800" TargetMode="External"/><Relationship Id="rId85" Type="http://schemas.openxmlformats.org/officeDocument/2006/relationships/hyperlink" Target="https://www.google.com/maps?q=5.36400,-3.98900" TargetMode="External"/><Relationship Id="rId86" Type="http://schemas.openxmlformats.org/officeDocument/2006/relationships/hyperlink" Target="https://www.google.com/maps?q=5.34350,-3.96650" TargetMode="External"/><Relationship Id="rId87" Type="http://schemas.openxmlformats.org/officeDocument/2006/relationships/hyperlink" Target="https://www.google.com/maps?q=5.34659,-3.99977" TargetMode="External"/><Relationship Id="rId88" Type="http://schemas.openxmlformats.org/officeDocument/2006/relationships/hyperlink" Target="https://www.google.com/maps?q=5.32767,-3.93473" TargetMode="External"/><Relationship Id="rId89" Type="http://schemas.openxmlformats.org/officeDocument/2006/relationships/hyperlink" Target="https://www.google.com/maps?q=5.36967,-3.99195" TargetMode="External"/><Relationship Id="rId90" Type="http://schemas.openxmlformats.org/officeDocument/2006/relationships/hyperlink" Target="https://www.google.com/maps?q=5.32322,-4.00183" TargetMode="External"/><Relationship Id="rId91" Type="http://schemas.openxmlformats.org/officeDocument/2006/relationships/hyperlink" Target="https://www.google.com/maps?q=5.35853,-3.99401" TargetMode="External"/><Relationship Id="rId92" Type="http://schemas.openxmlformats.org/officeDocument/2006/relationships/hyperlink" Target="https://www.google.com/maps?q=5.34500,-3.96500" TargetMode="External"/><Relationship Id="rId93" Type="http://schemas.openxmlformats.org/officeDocument/2006/relationships/hyperlink" Target="https://www.google.com/maps?q=5.32800,-4.00100" TargetMode="External"/><Relationship Id="rId94" Type="http://schemas.openxmlformats.org/officeDocument/2006/relationships/hyperlink" Target="https://www.google.com/maps?q=5.32697,-3.95611" TargetMode="External"/><Relationship Id="rId95" Type="http://schemas.openxmlformats.org/officeDocument/2006/relationships/hyperlink" Target="https://www.google.com/maps?q=5.32767,-3.93473" TargetMode="External"/><Relationship Id="rId96" Type="http://schemas.openxmlformats.org/officeDocument/2006/relationships/hyperlink" Target="https://www.google.com/maps?q=5.35000,-3.97000" TargetMode="External"/><Relationship Id="rId97" Type="http://schemas.openxmlformats.org/officeDocument/2006/relationships/hyperlink" Target="https://www.google.com/maps?q=5.30750,-3.95296" TargetMode="External"/><Relationship Id="rId98" Type="http://schemas.openxmlformats.org/officeDocument/2006/relationships/hyperlink" Target="https://www.google.com/maps?q=5.30439,-3.94388" TargetMode="External"/><Relationship Id="rId99" Type="http://schemas.openxmlformats.org/officeDocument/2006/relationships/hyperlink" Target="https://www.google.com/maps?q=5.28601,-3.95131" TargetMode="External"/><Relationship Id="rId100" Type="http://schemas.openxmlformats.org/officeDocument/2006/relationships/hyperlink" Target="https://www.google.com/maps?q=5.29388,-3.95973" TargetMode="External"/><Relationship Id="rId101" Type="http://schemas.openxmlformats.org/officeDocument/2006/relationships/hyperlink" Target="https://www.google.com/maps?q=5.29796,-3.95860" TargetMode="External"/><Relationship Id="rId102" Type="http://schemas.openxmlformats.org/officeDocument/2006/relationships/hyperlink" Target="https://www.google.com/maps?q=5.30038,-3.96444" TargetMode="External"/><Relationship Id="rId103" Type="http://schemas.openxmlformats.org/officeDocument/2006/relationships/hyperlink" Target="https://www.google.com/maps?q=5.31432,-3.94256" TargetMode="External"/><Relationship Id="rId104" Type="http://schemas.openxmlformats.org/officeDocument/2006/relationships/hyperlink" Target="https://www.google.com/maps?q=5.30092,-3.94658" TargetMode="External"/><Relationship Id="rId105" Type="http://schemas.openxmlformats.org/officeDocument/2006/relationships/hyperlink" Target="https://www.google.com/maps?q=5.28260,-3.96922" TargetMode="External"/><Relationship Id="rId106" Type="http://schemas.openxmlformats.org/officeDocument/2006/relationships/hyperlink" Target="https://www.google.com/maps?q=5.29278,-3.95828" TargetMode="External"/><Relationship Id="rId107" Type="http://schemas.openxmlformats.org/officeDocument/2006/relationships/hyperlink" Target="https://www.google.com/maps?q=5.29710,-3.96220" TargetMode="External"/><Relationship Id="rId108" Type="http://schemas.openxmlformats.org/officeDocument/2006/relationships/hyperlink" Target="https://www.google.com/maps?q=5.30123,-3.95762" TargetMode="External"/><Relationship Id="rId109" Type="http://schemas.openxmlformats.org/officeDocument/2006/relationships/hyperlink" Target="https://www.google.com/maps?q=5.31222,-3.94839" TargetMode="External"/><Relationship Id="rId110" Type="http://schemas.openxmlformats.org/officeDocument/2006/relationships/hyperlink" Target="https://www.google.com/maps?q=5.30046,-3.95064" TargetMode="External"/><Relationship Id="rId111" Type="http://schemas.openxmlformats.org/officeDocument/2006/relationships/hyperlink" Target="https://www.google.com/maps?q=5.28335,-3.96499" TargetMode="External"/><Relationship Id="rId112" Type="http://schemas.openxmlformats.org/officeDocument/2006/relationships/hyperlink" Target="https://www.google.com/maps?q=5.30800,-3.95200" TargetMode="External"/><Relationship Id="rId113" Type="http://schemas.openxmlformats.org/officeDocument/2006/relationships/hyperlink" Target="https://www.google.com/maps?q=5.29646,-3.96754" TargetMode="External"/><Relationship Id="rId114" Type="http://schemas.openxmlformats.org/officeDocument/2006/relationships/hyperlink" Target="https://www.google.com/maps?q=5.30680,-3.95019" TargetMode="External"/><Relationship Id="rId115" Type="http://schemas.openxmlformats.org/officeDocument/2006/relationships/hyperlink" Target="https://www.google.com/maps?q=5.30830,-3.94495" TargetMode="External"/><Relationship Id="rId116" Type="http://schemas.openxmlformats.org/officeDocument/2006/relationships/hyperlink" Target="https://www.google.com/maps?q=5.29874,-3.95523" TargetMode="External"/><Relationship Id="rId117" Type="http://schemas.openxmlformats.org/officeDocument/2006/relationships/hyperlink" Target="https://www.google.com/maps?q=5.28817,-3.96996" TargetMode="External"/><Relationship Id="rId118" Type="http://schemas.openxmlformats.org/officeDocument/2006/relationships/hyperlink" Target="https://www.google.com/maps?q=5.29443,-3.96410" TargetMode="External"/><Relationship Id="rId119" Type="http://schemas.openxmlformats.org/officeDocument/2006/relationships/hyperlink" Target="https://www.google.com/maps?q=5.29800,-3.94100" TargetMode="External"/><Relationship Id="rId120" Type="http://schemas.openxmlformats.org/officeDocument/2006/relationships/hyperlink" Target="https://www.google.com/maps?q=5.30750,-3.95296" TargetMode="External"/><Relationship Id="rId121" Type="http://schemas.openxmlformats.org/officeDocument/2006/relationships/hyperlink" Target="https://www.google.com/maps?q=5.37911,-3.95342" TargetMode="External"/><Relationship Id="rId122" Type="http://schemas.openxmlformats.org/officeDocument/2006/relationships/hyperlink" Target="https://www.google.com/maps?q=5.39183,-3.92960" TargetMode="External"/><Relationship Id="rId123" Type="http://schemas.openxmlformats.org/officeDocument/2006/relationships/hyperlink" Target="https://www.google.com/maps?q=5.39500,-3.97800" TargetMode="External"/><Relationship Id="rId124" Type="http://schemas.openxmlformats.org/officeDocument/2006/relationships/hyperlink" Target="https://www.google.com/maps?q=5.40500,-3.93500" TargetMode="External"/><Relationship Id="rId125" Type="http://schemas.openxmlformats.org/officeDocument/2006/relationships/hyperlink" Target="https://www.google.com/maps?q=5.41200,-3.92800" TargetMode="External"/><Relationship Id="rId126" Type="http://schemas.openxmlformats.org/officeDocument/2006/relationships/hyperlink" Target="https://www.google.com/maps?q=5.32677,-3.91406" TargetMode="External"/><Relationship Id="rId127" Type="http://schemas.openxmlformats.org/officeDocument/2006/relationships/hyperlink" Target="https://www.google.com/maps?q=5.36471,-3.97258" TargetMode="External"/><Relationship Id="rId128" Type="http://schemas.openxmlformats.org/officeDocument/2006/relationships/hyperlink" Target="https://www.google.com/maps?q=5.37200,-3.94500" TargetMode="External"/><Relationship Id="rId129" Type="http://schemas.openxmlformats.org/officeDocument/2006/relationships/hyperlink" Target="https://www.google.com/maps?q=5.39650,-3.97650" TargetMode="External"/><Relationship Id="rId130" Type="http://schemas.openxmlformats.org/officeDocument/2006/relationships/hyperlink" Target="https://www.google.com/maps?q=5.40600,-3.93400" TargetMode="External"/><Relationship Id="rId131" Type="http://schemas.openxmlformats.org/officeDocument/2006/relationships/hyperlink" Target="https://www.google.com/maps?q=5.41300,-3.92700" TargetMode="External"/><Relationship Id="rId132" Type="http://schemas.openxmlformats.org/officeDocument/2006/relationships/hyperlink" Target="https://www.google.com/maps?q=5.32677,-3.91406" TargetMode="External"/><Relationship Id="rId133" Type="http://schemas.openxmlformats.org/officeDocument/2006/relationships/hyperlink" Target="https://www.google.com/maps?q=5.36319,-3.97840" TargetMode="External"/><Relationship Id="rId134" Type="http://schemas.openxmlformats.org/officeDocument/2006/relationships/hyperlink" Target="https://www.google.com/maps?q=5.35226,-3.94070" TargetMode="External"/><Relationship Id="rId135" Type="http://schemas.openxmlformats.org/officeDocument/2006/relationships/hyperlink" Target="https://www.google.com/maps?q=5.40483,-3.98515" TargetMode="External"/><Relationship Id="rId136" Type="http://schemas.openxmlformats.org/officeDocument/2006/relationships/hyperlink" Target="https://www.google.com/maps?q=5.40700,-3.93300" TargetMode="External"/><Relationship Id="rId137" Type="http://schemas.openxmlformats.org/officeDocument/2006/relationships/hyperlink" Target="https://www.google.com/maps?q=5.41400,-3.92600" TargetMode="External"/><Relationship Id="rId138" Type="http://schemas.openxmlformats.org/officeDocument/2006/relationships/hyperlink" Target="https://www.google.com/maps?q=5.32830,-3.91674" TargetMode="External"/><Relationship Id="rId139" Type="http://schemas.openxmlformats.org/officeDocument/2006/relationships/hyperlink" Target="https://www.google.com/maps?q=5.38642,-3.97481" TargetMode="External"/><Relationship Id="rId140" Type="http://schemas.openxmlformats.org/officeDocument/2006/relationships/hyperlink" Target="https://www.google.com/maps?q=5.35714,-3.92910" TargetMode="External"/><Relationship Id="rId141" Type="http://schemas.openxmlformats.org/officeDocument/2006/relationships/hyperlink" Target="https://www.google.com/maps?q=5.41280,-3.98088" TargetMode="External"/><Relationship Id="rId142" Type="http://schemas.openxmlformats.org/officeDocument/2006/relationships/hyperlink" Target="https://www.google.com/maps?q=5.40090,-3.95756" TargetMode="External"/><Relationship Id="rId143" Type="http://schemas.openxmlformats.org/officeDocument/2006/relationships/hyperlink" Target="https://www.google.com/maps?q=5.41500,-3.92500" TargetMode="External"/><Relationship Id="rId144" Type="http://schemas.openxmlformats.org/officeDocument/2006/relationships/hyperlink" Target="https://www.google.com/maps?q=5.32830,-3.91674" TargetMode="External"/><Relationship Id="rId145" Type="http://schemas.openxmlformats.org/officeDocument/2006/relationships/hyperlink" Target="https://www.google.com/maps?q=5.44839,-4.00615" TargetMode="External"/><Relationship Id="rId146" Type="http://schemas.openxmlformats.org/officeDocument/2006/relationships/hyperlink" Target="https://www.google.com/maps?q=5.43100,-4.02800" TargetMode="External"/><Relationship Id="rId147" Type="http://schemas.openxmlformats.org/officeDocument/2006/relationships/hyperlink" Target="https://www.google.com/maps?q=5.42117,-4.01670" TargetMode="External"/><Relationship Id="rId148" Type="http://schemas.openxmlformats.org/officeDocument/2006/relationships/hyperlink" Target="https://www.google.com/maps?q=5.43716,-4.00460" TargetMode="External"/><Relationship Id="rId149" Type="http://schemas.openxmlformats.org/officeDocument/2006/relationships/hyperlink" Target="https://www.google.com/maps?q=5.42500,-4.00900" TargetMode="External"/><Relationship Id="rId150" Type="http://schemas.openxmlformats.org/officeDocument/2006/relationships/hyperlink" Target="https://www.google.com/maps?q=5.43923,-4.04209" TargetMode="External"/><Relationship Id="rId151" Type="http://schemas.openxmlformats.org/officeDocument/2006/relationships/hyperlink" Target="https://www.google.com/maps?q=5.42202,-3.98193" TargetMode="External"/><Relationship Id="rId152" Type="http://schemas.openxmlformats.org/officeDocument/2006/relationships/hyperlink" Target="https://www.google.com/maps?q=5.42200,-4.01500" TargetMode="External"/><Relationship Id="rId153" Type="http://schemas.openxmlformats.org/officeDocument/2006/relationships/hyperlink" Target="https://www.google.com/maps?q=5.41800,-4.01200" TargetMode="External"/><Relationship Id="rId154" Type="http://schemas.openxmlformats.org/officeDocument/2006/relationships/hyperlink" Target="https://www.google.com/maps?q=5.43280,-4.00951" TargetMode="External"/><Relationship Id="rId155" Type="http://schemas.openxmlformats.org/officeDocument/2006/relationships/hyperlink" Target="https://www.google.com/maps?q=5.42314,-4.01481" TargetMode="External"/><Relationship Id="rId156" Type="http://schemas.openxmlformats.org/officeDocument/2006/relationships/hyperlink" Target="https://www.google.com/maps?q=5.43669,-4.02980" TargetMode="External"/><Relationship Id="rId157" Type="http://schemas.openxmlformats.org/officeDocument/2006/relationships/hyperlink" Target="https://www.google.com/maps?q=5.44349,-4.00884" TargetMode="External"/><Relationship Id="rId158" Type="http://schemas.openxmlformats.org/officeDocument/2006/relationships/hyperlink" Target="https://www.google.com/maps?q=5.44587,-4.02070" TargetMode="External"/><Relationship Id="rId159" Type="http://schemas.openxmlformats.org/officeDocument/2006/relationships/hyperlink" Target="https://www.google.com/maps?q=5.42753,-4.02065" TargetMode="External"/><Relationship Id="rId160" Type="http://schemas.openxmlformats.org/officeDocument/2006/relationships/hyperlink" Target="https://www.google.com/maps?q=5.43806,-4.00843" TargetMode="External"/><Relationship Id="rId161" Type="http://schemas.openxmlformats.org/officeDocument/2006/relationships/hyperlink" Target="https://www.google.com/maps?q=5.41400,-4.02100" TargetMode="External"/><Relationship Id="rId162" Type="http://schemas.openxmlformats.org/officeDocument/2006/relationships/hyperlink" Target="https://www.google.com/maps?q=5.43800,-4.01900" TargetMode="External"/><Relationship Id="rId163" Type="http://schemas.openxmlformats.org/officeDocument/2006/relationships/hyperlink" Target="https://www.google.com/maps?q=5.41200,-4.01800" TargetMode="External"/><Relationship Id="rId164" Type="http://schemas.openxmlformats.org/officeDocument/2006/relationships/hyperlink" Target="https://www.google.com/maps?q=5.43793,-4.02926" TargetMode="External"/><Relationship Id="rId165" Type="http://schemas.openxmlformats.org/officeDocument/2006/relationships/hyperlink" Target="https://www.google.com/maps?q=5.42823,-4.01330" TargetMode="External"/><Relationship Id="rId166" Type="http://schemas.openxmlformats.org/officeDocument/2006/relationships/hyperlink" Target="https://www.google.com/maps?q=5.43545,-4.00674" TargetMode="External"/><Relationship Id="rId167" Type="http://schemas.openxmlformats.org/officeDocument/2006/relationships/hyperlink" Target="https://www.google.com/maps?q=5.41650,-4.01500" TargetMode="External"/><Relationship Id="rId168" Type="http://schemas.openxmlformats.org/officeDocument/2006/relationships/hyperlink" Target="https://www.google.com/maps?q=5.44525,-4.01999" TargetMode="External"/><Relationship Id="rId169" Type="http://schemas.openxmlformats.org/officeDocument/2006/relationships/hyperlink" Target="https://www.google.com/maps?q=5.41079,-4.01425" TargetMode="External"/><Relationship Id="rId170" Type="http://schemas.openxmlformats.org/officeDocument/2006/relationships/hyperlink" Target="https://www.google.com/maps?q=5.43550,-4.01713" TargetMode="External"/><Relationship Id="rId171" Type="http://schemas.openxmlformats.org/officeDocument/2006/relationships/hyperlink" Target="https://www.google.com/maps?q=5.41638,-4.00672" TargetMode="External"/><Relationship Id="rId172" Type="http://schemas.openxmlformats.org/officeDocument/2006/relationships/hyperlink" Target="https://www.google.com/maps?q=5.43200,-3.99800" TargetMode="External"/><Relationship Id="rId173" Type="http://schemas.openxmlformats.org/officeDocument/2006/relationships/hyperlink" Target="https://www.google.com/maps?q=5.44854,-4.07073" TargetMode="External"/><Relationship Id="rId174" Type="http://schemas.openxmlformats.org/officeDocument/2006/relationships/hyperlink" Target="https://www.google.com/maps?q=5.44040,-3.98388" TargetMode="External"/><Relationship Id="rId175" Type="http://schemas.openxmlformats.org/officeDocument/2006/relationships/hyperlink" Target="https://www.google.com/maps?q=5.39617,-4.00096" TargetMode="External"/><Relationship Id="rId176" Type="http://schemas.openxmlformats.org/officeDocument/2006/relationships/hyperlink" Target="https://www.google.com/maps?q=5.47952,-4.05357" TargetMode="External"/><Relationship Id="rId177" Type="http://schemas.openxmlformats.org/officeDocument/2006/relationships/hyperlink" Target="https://www.google.com/maps?q=5.41948,-4.00835" TargetMode="External"/><Relationship Id="rId178" Type="http://schemas.openxmlformats.org/officeDocument/2006/relationships/hyperlink" Target="https://www.google.com/maps?q=5.39950,-4.00649" TargetMode="External"/><Relationship Id="rId179" Type="http://schemas.openxmlformats.org/officeDocument/2006/relationships/hyperlink" Target="https://www.google.com/maps?q=5.49610,-4.05120" TargetMode="External"/><Relationship Id="rId180" Type="http://schemas.openxmlformats.org/officeDocument/2006/relationships/hyperlink" Target="https://www.google.com/maps?q=5.41948,-4.00835" TargetMode="External"/><Relationship Id="rId181" Type="http://schemas.openxmlformats.org/officeDocument/2006/relationships/hyperlink" Target="https://www.google.com/maps?q=5.44100,-4.03200" TargetMode="External"/><Relationship Id="rId182" Type="http://schemas.openxmlformats.org/officeDocument/2006/relationships/hyperlink" Target="https://www.google.com/maps?q=5.43562,-4.02026" TargetMode="External"/><Relationship Id="rId183" Type="http://schemas.openxmlformats.org/officeDocument/2006/relationships/hyperlink" Target="https://www.google.com/maps?q=5.43429,-3.99602" TargetMode="External"/><Relationship Id="rId184" Type="http://schemas.openxmlformats.org/officeDocument/2006/relationships/hyperlink" Target="https://www.google.com/maps?q=5.40870,-4.01022" TargetMode="External"/><Relationship Id="rId185" Type="http://schemas.openxmlformats.org/officeDocument/2006/relationships/hyperlink" Target="https://www.google.com/maps?q=5.45800,-4.04800" TargetMode="External"/><Relationship Id="rId186" Type="http://schemas.openxmlformats.org/officeDocument/2006/relationships/hyperlink" Target="https://www.google.com/maps?q=5.44800,-4.03800" TargetMode="External"/><Relationship Id="rId187" Type="http://schemas.openxmlformats.org/officeDocument/2006/relationships/hyperlink" Target="https://www.google.com/maps?q=5.45613,-3.97275" TargetMode="External"/><Relationship Id="rId188" Type="http://schemas.openxmlformats.org/officeDocument/2006/relationships/hyperlink" Target="https://www.google.com/maps?q=5.45100,-4.04100" TargetMode="External"/><Relationship Id="rId189" Type="http://schemas.openxmlformats.org/officeDocument/2006/relationships/hyperlink" Target="https://www.google.com/maps?q=5.41012,-4.00146" TargetMode="External"/><Relationship Id="rId190" Type="http://schemas.openxmlformats.org/officeDocument/2006/relationships/hyperlink" Target="https://www.google.com/maps?q=5.44250,-4.03050" TargetMode="External"/><Relationship Id="rId191" Type="http://schemas.openxmlformats.org/officeDocument/2006/relationships/hyperlink" Target="https://www.google.com/maps?q=5.45250,-4.03950" TargetMode="External"/><Relationship Id="rId192" Type="http://schemas.openxmlformats.org/officeDocument/2006/relationships/hyperlink" Target="https://www.google.com/maps?q=5.41100,-3.99200" TargetMode="External"/><Relationship Id="rId193" Type="http://schemas.openxmlformats.org/officeDocument/2006/relationships/hyperlink" Target="https://www.google.com/maps?q=5.37441,-4.08454" TargetMode="External"/><Relationship Id="rId194" Type="http://schemas.openxmlformats.org/officeDocument/2006/relationships/hyperlink" Target="https://www.google.com/maps?q=5.36538,-4.10399" TargetMode="External"/><Relationship Id="rId195" Type="http://schemas.openxmlformats.org/officeDocument/2006/relationships/hyperlink" Target="https://www.google.com/maps?q=5.32490,-4.25167" TargetMode="External"/><Relationship Id="rId196" Type="http://schemas.openxmlformats.org/officeDocument/2006/relationships/hyperlink" Target="https://www.google.com/maps?q=5.31966,-4.10706" TargetMode="External"/><Relationship Id="rId197" Type="http://schemas.openxmlformats.org/officeDocument/2006/relationships/hyperlink" Target="https://www.google.com/maps?q=5.34409,-4.07743" TargetMode="External"/><Relationship Id="rId198" Type="http://schemas.openxmlformats.org/officeDocument/2006/relationships/hyperlink" Target="https://www.google.com/maps?q=5.33942,-4.09920" TargetMode="External"/><Relationship Id="rId199" Type="http://schemas.openxmlformats.org/officeDocument/2006/relationships/hyperlink" Target="https://www.google.com/maps?q=5.36607,-4.06824" TargetMode="External"/><Relationship Id="rId200" Type="http://schemas.openxmlformats.org/officeDocument/2006/relationships/hyperlink" Target="https://www.google.com/maps?q=5.35616,-4.10138" TargetMode="External"/><Relationship Id="rId201" Type="http://schemas.openxmlformats.org/officeDocument/2006/relationships/hyperlink" Target="https://www.google.com/maps?q=5.33452,-4.11165" TargetMode="External"/><Relationship Id="rId202" Type="http://schemas.openxmlformats.org/officeDocument/2006/relationships/hyperlink" Target="https://www.google.com/maps?q=5.31658,-4.11275" TargetMode="External"/><Relationship Id="rId203" Type="http://schemas.openxmlformats.org/officeDocument/2006/relationships/hyperlink" Target="https://www.google.com/maps?q=5.35417,-4.07457" TargetMode="External"/><Relationship Id="rId204" Type="http://schemas.openxmlformats.org/officeDocument/2006/relationships/hyperlink" Target="https://www.google.com/maps?q=5.33942,-4.09920" TargetMode="External"/><Relationship Id="rId205" Type="http://schemas.openxmlformats.org/officeDocument/2006/relationships/hyperlink" Target="https://www.google.com/maps?q=5.36607,-4.06824" TargetMode="External"/><Relationship Id="rId206" Type="http://schemas.openxmlformats.org/officeDocument/2006/relationships/hyperlink" Target="https://www.google.com/maps?q=5.35700,-4.10300" TargetMode="External"/><Relationship Id="rId207" Type="http://schemas.openxmlformats.org/officeDocument/2006/relationships/hyperlink" Target="https://www.google.com/maps?q=5.33627,-4.10793" TargetMode="External"/><Relationship Id="rId208" Type="http://schemas.openxmlformats.org/officeDocument/2006/relationships/hyperlink" Target="https://www.google.com/maps?q=5.31120,-4.10383" TargetMode="External"/><Relationship Id="rId209" Type="http://schemas.openxmlformats.org/officeDocument/2006/relationships/hyperlink" Target="https://www.google.com/maps?q=5.34983,-4.08868" TargetMode="External"/><Relationship Id="rId210" Type="http://schemas.openxmlformats.org/officeDocument/2006/relationships/hyperlink" Target="https://www.google.com/maps?q=5.33942,-4.09920" TargetMode="External"/><Relationship Id="rId211" Type="http://schemas.openxmlformats.org/officeDocument/2006/relationships/hyperlink" Target="https://www.google.com/maps?q=5.38160,-4.09776" TargetMode="External"/><Relationship Id="rId212" Type="http://schemas.openxmlformats.org/officeDocument/2006/relationships/hyperlink" Target="https://www.google.com/maps?q=5.36100,-4.09500" TargetMode="External"/><Relationship Id="rId213" Type="http://schemas.openxmlformats.org/officeDocument/2006/relationships/hyperlink" Target="https://www.google.com/maps?q=5.34044,-4.10982" TargetMode="External"/><Relationship Id="rId214" Type="http://schemas.openxmlformats.org/officeDocument/2006/relationships/hyperlink" Target="https://www.google.com/maps?q=5.32644,-4.09143" TargetMode="External"/><Relationship Id="rId215" Type="http://schemas.openxmlformats.org/officeDocument/2006/relationships/hyperlink" Target="https://www.google.com/maps?q=5.34983,-4.08868" TargetMode="External"/><Relationship Id="rId216" Type="http://schemas.openxmlformats.org/officeDocument/2006/relationships/hyperlink" Target="https://www.google.com/maps?q=5.33942,-4.09920" TargetMode="External"/><Relationship Id="rId217" Type="http://schemas.openxmlformats.org/officeDocument/2006/relationships/drawing" Target="../drawings/drawing1.xml"/><Relationship Id="rId218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26.85" hidden="false" customHeight="false" outlineLevel="0" collapsed="false">
      <c r="A4" s="2" t="s">
        <v>2</v>
      </c>
    </row>
    <row r="5" customFormat="false" ht="26.85" hidden="false" customHeight="false" outlineLevel="0" collapsed="false">
      <c r="A5" s="2" t="s">
        <v>3</v>
      </c>
    </row>
    <row r="6" customFormat="false" ht="26.8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26.8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26.85" hidden="false" customHeight="false" outlineLevel="0" collapsed="false">
      <c r="A11" s="2" t="s">
        <v>8</v>
      </c>
    </row>
    <row r="12" customFormat="false" ht="26.8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26.8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2" t="s">
        <v>14</v>
      </c>
    </row>
    <row r="20" customFormat="false" ht="26.8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4" t="s">
        <v>18</v>
      </c>
    </row>
    <row r="25" customFormat="false" ht="15" hidden="false" customHeight="false" outlineLevel="0" collapsed="false">
      <c r="A25" s="4" t="s">
        <v>19</v>
      </c>
    </row>
    <row r="26" customFormat="false" ht="15" hidden="false" customHeight="false" outlineLevel="0" collapsed="false">
      <c r="A26" s="4" t="s">
        <v>20</v>
      </c>
    </row>
  </sheetData>
  <printOptions headings="false" gridLines="false" gridLinesSet="true" horizontalCentered="false" verticalCentered="false"/>
  <pageMargins left="0.4" right="0.4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&amp;CRouting mensuel Atom — validation du 17/10/2026 — &amp;A</oddHeader>
    <oddFooter>&amp;CPage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24"/>
    <col collapsed="false" customWidth="true" hidden="false" outlineLevel="0" max="7" min="7" style="0" width="16"/>
  </cols>
  <sheetData>
    <row r="1" customFormat="false" ht="26.85" hidden="false" customHeight="false" outlineLevel="0" collapsed="false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</row>
    <row r="2" customFormat="false" ht="15" hidden="false" customHeight="false" outlineLevel="0" collapsed="false">
      <c r="A2" s="6" t="s">
        <v>28</v>
      </c>
      <c r="B2" s="6" t="n">
        <f aca="false">COUNTIFS(Routing!$A$2:$A$216,$A2)</f>
        <v>24</v>
      </c>
      <c r="C2" s="6" t="n">
        <f aca="false">COUNTIFS(Routing!$A$2:$A$216,$A2,Routing!$I$2:$I$216,"OK")</f>
        <v>12</v>
      </c>
      <c r="D2" s="6" t="n">
        <f aca="false">COUNTIFS(Routing!$A$2:$A$216,$A2,Routing!$I$2:$I$216,"Corrigé le 17/10")</f>
        <v>8</v>
      </c>
      <c r="E2" s="6" t="n">
        <f aca="false">COUNTIFS(Routing!$A$2:$A$216,$A2,Routing!$I$2:$I$216,"À confirmer (douteux)")</f>
        <v>3</v>
      </c>
      <c r="F2" s="6" t="n">
        <f aca="false">COUNTIFS(Routing!$A$2:$A$216,$A2,Routing!$I$2:$I$216,"À confirmer (non vérifiable)")</f>
        <v>1</v>
      </c>
      <c r="G2" s="6" t="n">
        <f aca="false">COUNTIFS(Routing!$A$2:$A$216,$A2,Routing!$P$2:$P$216,"Oui")</f>
        <v>0</v>
      </c>
    </row>
    <row r="3" customFormat="false" ht="15" hidden="false" customHeight="false" outlineLevel="0" collapsed="false">
      <c r="A3" s="6" t="s">
        <v>29</v>
      </c>
      <c r="B3" s="6" t="n">
        <f aca="false">COUNTIFS(Routing!$A$2:$A$216,$A3)</f>
        <v>23</v>
      </c>
      <c r="C3" s="6" t="n">
        <f aca="false">COUNTIFS(Routing!$A$2:$A$216,$A3,Routing!$I$2:$I$216,"OK")</f>
        <v>19</v>
      </c>
      <c r="D3" s="6" t="n">
        <f aca="false">COUNTIFS(Routing!$A$2:$A$216,$A3,Routing!$I$2:$I$216,"Corrigé le 17/10")</f>
        <v>2</v>
      </c>
      <c r="E3" s="6" t="n">
        <f aca="false">COUNTIFS(Routing!$A$2:$A$216,$A3,Routing!$I$2:$I$216,"À confirmer (douteux)")</f>
        <v>2</v>
      </c>
      <c r="F3" s="6" t="n">
        <f aca="false">COUNTIFS(Routing!$A$2:$A$216,$A3,Routing!$I$2:$I$216,"À confirmer (non vérifiable)")</f>
        <v>0</v>
      </c>
      <c r="G3" s="6" t="n">
        <f aca="false">COUNTIFS(Routing!$A$2:$A$216,$A3,Routing!$P$2:$P$216,"Oui")</f>
        <v>0</v>
      </c>
    </row>
    <row r="4" customFormat="false" ht="15" hidden="false" customHeight="false" outlineLevel="0" collapsed="false">
      <c r="A4" s="6" t="s">
        <v>30</v>
      </c>
      <c r="B4" s="6" t="n">
        <f aca="false">COUNTIFS(Routing!$A$2:$A$216,$A4)</f>
        <v>24</v>
      </c>
      <c r="C4" s="6" t="n">
        <f aca="false">COUNTIFS(Routing!$A$2:$A$216,$A4,Routing!$I$2:$I$216,"OK")</f>
        <v>16</v>
      </c>
      <c r="D4" s="6" t="n">
        <f aca="false">COUNTIFS(Routing!$A$2:$A$216,$A4,Routing!$I$2:$I$216,"Corrigé le 17/10")</f>
        <v>1</v>
      </c>
      <c r="E4" s="6" t="n">
        <f aca="false">COUNTIFS(Routing!$A$2:$A$216,$A4,Routing!$I$2:$I$216,"À confirmer (douteux)")</f>
        <v>2</v>
      </c>
      <c r="F4" s="6" t="n">
        <f aca="false">COUNTIFS(Routing!$A$2:$A$216,$A4,Routing!$I$2:$I$216,"À confirmer (non vérifiable)")</f>
        <v>5</v>
      </c>
      <c r="G4" s="6" t="n">
        <f aca="false">COUNTIFS(Routing!$A$2:$A$216,$A4,Routing!$P$2:$P$216,"Oui")</f>
        <v>0</v>
      </c>
    </row>
    <row r="5" customFormat="false" ht="15" hidden="false" customHeight="false" outlineLevel="0" collapsed="false">
      <c r="A5" s="6" t="s">
        <v>31</v>
      </c>
      <c r="B5" s="6" t="n">
        <f aca="false">COUNTIFS(Routing!$A$2:$A$216,$A5)</f>
        <v>24</v>
      </c>
      <c r="C5" s="6" t="n">
        <f aca="false">COUNTIFS(Routing!$A$2:$A$216,$A5,Routing!$I$2:$I$216,"OK")</f>
        <v>18</v>
      </c>
      <c r="D5" s="6" t="n">
        <f aca="false">COUNTIFS(Routing!$A$2:$A$216,$A5,Routing!$I$2:$I$216,"Corrigé le 17/10")</f>
        <v>1</v>
      </c>
      <c r="E5" s="6" t="n">
        <f aca="false">COUNTIFS(Routing!$A$2:$A$216,$A5,Routing!$I$2:$I$216,"À confirmer (douteux)")</f>
        <v>3</v>
      </c>
      <c r="F5" s="6" t="n">
        <f aca="false">COUNTIFS(Routing!$A$2:$A$216,$A5,Routing!$I$2:$I$216,"À confirmer (non vérifiable)")</f>
        <v>2</v>
      </c>
      <c r="G5" s="6" t="n">
        <f aca="false">COUNTIFS(Routing!$A$2:$A$216,$A5,Routing!$P$2:$P$216,"Oui")</f>
        <v>0</v>
      </c>
    </row>
    <row r="6" customFormat="false" ht="15" hidden="false" customHeight="false" outlineLevel="0" collapsed="false">
      <c r="A6" s="6" t="s">
        <v>32</v>
      </c>
      <c r="B6" s="6" t="n">
        <f aca="false">COUNTIFS(Routing!$A$2:$A$216,$A6)</f>
        <v>24</v>
      </c>
      <c r="C6" s="6" t="n">
        <f aca="false">COUNTIFS(Routing!$A$2:$A$216,$A6,Routing!$I$2:$I$216,"OK")</f>
        <v>18</v>
      </c>
      <c r="D6" s="6" t="n">
        <f aca="false">COUNTIFS(Routing!$A$2:$A$216,$A6,Routing!$I$2:$I$216,"Corrigé le 17/10")</f>
        <v>1</v>
      </c>
      <c r="E6" s="6" t="n">
        <f aca="false">COUNTIFS(Routing!$A$2:$A$216,$A6,Routing!$I$2:$I$216,"À confirmer (douteux)")</f>
        <v>3</v>
      </c>
      <c r="F6" s="6" t="n">
        <f aca="false">COUNTIFS(Routing!$A$2:$A$216,$A6,Routing!$I$2:$I$216,"À confirmer (non vérifiable)")</f>
        <v>2</v>
      </c>
      <c r="G6" s="6" t="n">
        <f aca="false">COUNTIFS(Routing!$A$2:$A$216,$A6,Routing!$P$2:$P$216,"Oui")</f>
        <v>0</v>
      </c>
    </row>
    <row r="7" customFormat="false" ht="15" hidden="false" customHeight="false" outlineLevel="0" collapsed="false">
      <c r="A7" s="6" t="s">
        <v>33</v>
      </c>
      <c r="B7" s="6" t="n">
        <f aca="false">COUNTIFS(Routing!$A$2:$A$216,$A7)</f>
        <v>24</v>
      </c>
      <c r="C7" s="6" t="n">
        <f aca="false">COUNTIFS(Routing!$A$2:$A$216,$A7,Routing!$I$2:$I$216,"OK")</f>
        <v>16</v>
      </c>
      <c r="D7" s="6" t="n">
        <f aca="false">COUNTIFS(Routing!$A$2:$A$216,$A7,Routing!$I$2:$I$216,"Corrigé le 17/10")</f>
        <v>0</v>
      </c>
      <c r="E7" s="6" t="n">
        <f aca="false">COUNTIFS(Routing!$A$2:$A$216,$A7,Routing!$I$2:$I$216,"À confirmer (douteux)")</f>
        <v>8</v>
      </c>
      <c r="F7" s="6" t="n">
        <f aca="false">COUNTIFS(Routing!$A$2:$A$216,$A7,Routing!$I$2:$I$216,"À confirmer (non vérifiable)")</f>
        <v>0</v>
      </c>
      <c r="G7" s="6" t="n">
        <f aca="false">COUNTIFS(Routing!$A$2:$A$216,$A7,Routing!$P$2:$P$216,"Oui")</f>
        <v>0</v>
      </c>
    </row>
    <row r="8" customFormat="false" ht="15" hidden="false" customHeight="false" outlineLevel="0" collapsed="false">
      <c r="A8" s="6" t="s">
        <v>34</v>
      </c>
      <c r="B8" s="6" t="n">
        <f aca="false">COUNTIFS(Routing!$A$2:$A$216,$A8)</f>
        <v>24</v>
      </c>
      <c r="C8" s="6" t="n">
        <f aca="false">COUNTIFS(Routing!$A$2:$A$216,$A8,Routing!$I$2:$I$216,"OK")</f>
        <v>13</v>
      </c>
      <c r="D8" s="6" t="n">
        <f aca="false">COUNTIFS(Routing!$A$2:$A$216,$A8,Routing!$I$2:$I$216,"Corrigé le 17/10")</f>
        <v>0</v>
      </c>
      <c r="E8" s="6" t="n">
        <f aca="false">COUNTIFS(Routing!$A$2:$A$216,$A8,Routing!$I$2:$I$216,"À confirmer (douteux)")</f>
        <v>4</v>
      </c>
      <c r="F8" s="6" t="n">
        <f aca="false">COUNTIFS(Routing!$A$2:$A$216,$A8,Routing!$I$2:$I$216,"À confirmer (non vérifiable)")</f>
        <v>7</v>
      </c>
      <c r="G8" s="6" t="n">
        <f aca="false">COUNTIFS(Routing!$A$2:$A$216,$A8,Routing!$P$2:$P$216,"Oui")</f>
        <v>0</v>
      </c>
    </row>
    <row r="9" customFormat="false" ht="15" hidden="false" customHeight="false" outlineLevel="0" collapsed="false">
      <c r="A9" s="6" t="s">
        <v>35</v>
      </c>
      <c r="B9" s="6" t="n">
        <f aca="false">COUNTIFS(Routing!$A$2:$A$216,$A9)</f>
        <v>24</v>
      </c>
      <c r="C9" s="6" t="n">
        <f aca="false">COUNTIFS(Routing!$A$2:$A$216,$A9,Routing!$I$2:$I$216,"OK")</f>
        <v>14</v>
      </c>
      <c r="D9" s="6" t="n">
        <f aca="false">COUNTIFS(Routing!$A$2:$A$216,$A9,Routing!$I$2:$I$216,"Corrigé le 17/10")</f>
        <v>2</v>
      </c>
      <c r="E9" s="6" t="n">
        <f aca="false">COUNTIFS(Routing!$A$2:$A$216,$A9,Routing!$I$2:$I$216,"À confirmer (douteux)")</f>
        <v>4</v>
      </c>
      <c r="F9" s="6" t="n">
        <f aca="false">COUNTIFS(Routing!$A$2:$A$216,$A9,Routing!$I$2:$I$216,"À confirmer (non vérifiable)")</f>
        <v>4</v>
      </c>
      <c r="G9" s="6" t="n">
        <f aca="false">COUNTIFS(Routing!$A$2:$A$216,$A9,Routing!$P$2:$P$216,"Oui")</f>
        <v>0</v>
      </c>
    </row>
    <row r="10" customFormat="false" ht="15" hidden="false" customHeight="false" outlineLevel="0" collapsed="false">
      <c r="A10" s="6" t="s">
        <v>36</v>
      </c>
      <c r="B10" s="6" t="n">
        <f aca="false">COUNTIFS(Routing!$A$2:$A$216,$A10)</f>
        <v>24</v>
      </c>
      <c r="C10" s="6" t="n">
        <f aca="false">COUNTIFS(Routing!$A$2:$A$216,$A10,Routing!$I$2:$I$216,"OK")</f>
        <v>15</v>
      </c>
      <c r="D10" s="6" t="n">
        <f aca="false">COUNTIFS(Routing!$A$2:$A$216,$A10,Routing!$I$2:$I$216,"Corrigé le 17/10")</f>
        <v>9</v>
      </c>
      <c r="E10" s="6" t="n">
        <f aca="false">COUNTIFS(Routing!$A$2:$A$216,$A10,Routing!$I$2:$I$216,"À confirmer (douteux)")</f>
        <v>0</v>
      </c>
      <c r="F10" s="6" t="n">
        <f aca="false">COUNTIFS(Routing!$A$2:$A$216,$A10,Routing!$I$2:$I$216,"À confirmer (non vérifiable)")</f>
        <v>0</v>
      </c>
      <c r="G10" s="6" t="n">
        <f aca="false">COUNTIFS(Routing!$A$2:$A$216,$A10,Routing!$P$2:$P$216,"Oui")</f>
        <v>0</v>
      </c>
    </row>
    <row r="11" customFormat="false" ht="15" hidden="false" customHeight="false" outlineLevel="0" collapsed="false">
      <c r="A11" s="7" t="s">
        <v>37</v>
      </c>
      <c r="B11" s="7" t="n">
        <f aca="false">SUM(B2:B10)</f>
        <v>215</v>
      </c>
      <c r="C11" s="7" t="n">
        <f aca="false">SUM(C2:C10)</f>
        <v>141</v>
      </c>
      <c r="D11" s="7" t="n">
        <f aca="false">SUM(D2:D10)</f>
        <v>24</v>
      </c>
      <c r="E11" s="7" t="n">
        <f aca="false">SUM(E2:E10)</f>
        <v>29</v>
      </c>
      <c r="F11" s="7" t="n">
        <f aca="false">SUM(F2:F10)</f>
        <v>21</v>
      </c>
      <c r="G11" s="7" t="n">
        <f aca="false">SUM(G2:G10)</f>
        <v>0</v>
      </c>
    </row>
  </sheetData>
  <printOptions headings="false" gridLines="false" gridLinesSet="true" horizontalCentered="false" verticalCentered="false"/>
  <pageMargins left="0.4" right="0.4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&amp;CRouting mensuel Atom — validation du 17/10/2026 — &amp;A</oddHeader>
    <oddFooter>&amp;CPage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24"/>
    <col collapsed="false" customWidth="true" hidden="false" outlineLevel="0" max="8" min="8" style="0" width="11"/>
    <col collapsed="false" customWidth="true" hidden="false" outlineLevel="0" max="9" min="9" style="0" width="24"/>
    <col collapsed="false" customWidth="true" hidden="false" outlineLevel="0" max="10" min="10" style="0" width="21"/>
    <col collapsed="false" customWidth="true" hidden="false" outlineLevel="0" max="11" min="11" style="0" width="9"/>
    <col collapsed="false" customWidth="true" hidden="false" outlineLevel="0" max="12" min="12" style="0" width="21"/>
    <col collapsed="false" customWidth="true" hidden="false" outlineLevel="0" max="13" min="13" style="0" width="9"/>
    <col collapsed="false" customWidth="true" hidden="false" outlineLevel="0" max="14" min="14" style="0" width="60"/>
    <col collapsed="false" customWidth="true" hidden="false" outlineLevel="0" max="15" min="15" style="0" width="34"/>
    <col collapsed="false" customWidth="true" hidden="false" outlineLevel="0" max="16" min="16" style="0" width="12"/>
    <col collapsed="false" customWidth="true" hidden="false" outlineLevel="0" max="17" min="17" style="0" width="40"/>
  </cols>
  <sheetData>
    <row r="1" customFormat="false" ht="30" hidden="false" customHeight="true" outlineLevel="0" collapsed="false">
      <c r="A1" s="5" t="s">
        <v>21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49</v>
      </c>
      <c r="N1" s="5" t="s">
        <v>50</v>
      </c>
      <c r="O1" s="5" t="s">
        <v>51</v>
      </c>
      <c r="P1" s="5" t="s">
        <v>52</v>
      </c>
      <c r="Q1" s="5" t="s">
        <v>53</v>
      </c>
    </row>
    <row r="2" customFormat="false" ht="15" hidden="false" customHeight="false" outlineLevel="0" collapsed="false">
      <c r="A2" s="8" t="s">
        <v>28</v>
      </c>
      <c r="B2" s="8" t="s">
        <v>54</v>
      </c>
      <c r="C2" s="8" t="s">
        <v>55</v>
      </c>
      <c r="D2" s="9" t="s">
        <v>56</v>
      </c>
      <c r="E2" s="8" t="s">
        <v>57</v>
      </c>
      <c r="F2" s="8" t="s">
        <v>58</v>
      </c>
      <c r="G2" s="8" t="s">
        <v>59</v>
      </c>
      <c r="H2" s="8" t="s">
        <v>60</v>
      </c>
      <c r="I2" s="10" t="s">
        <v>23</v>
      </c>
      <c r="J2" s="8" t="s">
        <v>61</v>
      </c>
      <c r="K2" s="11" t="s">
        <v>47</v>
      </c>
      <c r="L2" s="8"/>
      <c r="M2" s="12"/>
      <c r="N2" s="9" t="s">
        <v>62</v>
      </c>
      <c r="O2" s="9"/>
      <c r="P2" s="13"/>
      <c r="Q2" s="14"/>
    </row>
    <row r="3" customFormat="false" ht="15" hidden="false" customHeight="false" outlineLevel="0" collapsed="false">
      <c r="A3" s="8" t="s">
        <v>28</v>
      </c>
      <c r="B3" s="8" t="s">
        <v>63</v>
      </c>
      <c r="C3" s="8" t="s">
        <v>55</v>
      </c>
      <c r="D3" s="9" t="s">
        <v>64</v>
      </c>
      <c r="E3" s="8" t="s">
        <v>65</v>
      </c>
      <c r="F3" s="8" t="s">
        <v>58</v>
      </c>
      <c r="G3" s="8" t="s">
        <v>66</v>
      </c>
      <c r="H3" s="8" t="s">
        <v>60</v>
      </c>
      <c r="I3" s="10" t="s">
        <v>23</v>
      </c>
      <c r="J3" s="8" t="s">
        <v>67</v>
      </c>
      <c r="K3" s="11" t="s">
        <v>47</v>
      </c>
      <c r="L3" s="8"/>
      <c r="M3" s="12"/>
      <c r="N3" s="9" t="s">
        <v>68</v>
      </c>
      <c r="O3" s="9"/>
      <c r="P3" s="13"/>
      <c r="Q3" s="14"/>
    </row>
    <row r="4" customFormat="false" ht="15" hidden="false" customHeight="false" outlineLevel="0" collapsed="false">
      <c r="A4" s="8" t="s">
        <v>28</v>
      </c>
      <c r="B4" s="8" t="s">
        <v>69</v>
      </c>
      <c r="C4" s="8" t="s">
        <v>55</v>
      </c>
      <c r="D4" s="9" t="s">
        <v>70</v>
      </c>
      <c r="E4" s="8" t="s">
        <v>57</v>
      </c>
      <c r="F4" s="8" t="s">
        <v>58</v>
      </c>
      <c r="G4" s="8" t="s">
        <v>71</v>
      </c>
      <c r="H4" s="8" t="s">
        <v>60</v>
      </c>
      <c r="I4" s="10" t="s">
        <v>23</v>
      </c>
      <c r="J4" s="8" t="s">
        <v>72</v>
      </c>
      <c r="K4" s="11" t="s">
        <v>47</v>
      </c>
      <c r="L4" s="8"/>
      <c r="M4" s="12"/>
      <c r="N4" s="9" t="s">
        <v>73</v>
      </c>
      <c r="O4" s="9"/>
      <c r="P4" s="13"/>
      <c r="Q4" s="14"/>
    </row>
    <row r="5" customFormat="false" ht="22.35" hidden="false" customHeight="false" outlineLevel="0" collapsed="false">
      <c r="A5" s="8" t="s">
        <v>28</v>
      </c>
      <c r="B5" s="8" t="s">
        <v>74</v>
      </c>
      <c r="C5" s="8" t="s">
        <v>55</v>
      </c>
      <c r="D5" s="9" t="s">
        <v>75</v>
      </c>
      <c r="E5" s="8" t="s">
        <v>76</v>
      </c>
      <c r="F5" s="8" t="s">
        <v>58</v>
      </c>
      <c r="G5" s="8" t="s">
        <v>77</v>
      </c>
      <c r="H5" s="8" t="s">
        <v>60</v>
      </c>
      <c r="I5" s="15" t="s">
        <v>25</v>
      </c>
      <c r="J5" s="8" t="s">
        <v>78</v>
      </c>
      <c r="K5" s="11" t="s">
        <v>47</v>
      </c>
      <c r="L5" s="8"/>
      <c r="M5" s="12"/>
      <c r="N5" s="9" t="s">
        <v>79</v>
      </c>
      <c r="O5" s="9"/>
      <c r="P5" s="13"/>
      <c r="Q5" s="14"/>
    </row>
    <row r="6" customFormat="false" ht="22.35" hidden="false" customHeight="false" outlineLevel="0" collapsed="false">
      <c r="A6" s="8" t="s">
        <v>28</v>
      </c>
      <c r="B6" s="8" t="s">
        <v>80</v>
      </c>
      <c r="C6" s="8" t="s">
        <v>55</v>
      </c>
      <c r="D6" s="9" t="s">
        <v>81</v>
      </c>
      <c r="E6" s="8" t="s">
        <v>57</v>
      </c>
      <c r="F6" s="8" t="s">
        <v>58</v>
      </c>
      <c r="G6" s="8" t="s">
        <v>82</v>
      </c>
      <c r="H6" s="8" t="s">
        <v>60</v>
      </c>
      <c r="I6" s="16" t="s">
        <v>26</v>
      </c>
      <c r="J6" s="8" t="s">
        <v>83</v>
      </c>
      <c r="K6" s="11" t="s">
        <v>47</v>
      </c>
      <c r="L6" s="8"/>
      <c r="M6" s="12"/>
      <c r="N6" s="9" t="s">
        <v>84</v>
      </c>
      <c r="O6" s="9"/>
      <c r="P6" s="13"/>
      <c r="Q6" s="14"/>
    </row>
    <row r="7" customFormat="false" ht="15" hidden="false" customHeight="false" outlineLevel="0" collapsed="false">
      <c r="A7" s="8" t="s">
        <v>28</v>
      </c>
      <c r="B7" s="8" t="s">
        <v>85</v>
      </c>
      <c r="C7" s="8" t="s">
        <v>55</v>
      </c>
      <c r="D7" s="9" t="s">
        <v>86</v>
      </c>
      <c r="E7" s="8" t="s">
        <v>57</v>
      </c>
      <c r="F7" s="8" t="s">
        <v>58</v>
      </c>
      <c r="G7" s="8" t="s">
        <v>87</v>
      </c>
      <c r="H7" s="8" t="s">
        <v>88</v>
      </c>
      <c r="I7" s="10" t="s">
        <v>23</v>
      </c>
      <c r="J7" s="8" t="s">
        <v>89</v>
      </c>
      <c r="K7" s="11" t="s">
        <v>47</v>
      </c>
      <c r="L7" s="8"/>
      <c r="M7" s="12"/>
      <c r="N7" s="9" t="s">
        <v>73</v>
      </c>
      <c r="O7" s="9"/>
      <c r="P7" s="13"/>
      <c r="Q7" s="14"/>
    </row>
    <row r="8" customFormat="false" ht="15" hidden="false" customHeight="false" outlineLevel="0" collapsed="false">
      <c r="A8" s="8" t="s">
        <v>28</v>
      </c>
      <c r="B8" s="8" t="s">
        <v>54</v>
      </c>
      <c r="C8" s="8" t="s">
        <v>90</v>
      </c>
      <c r="D8" s="9" t="s">
        <v>91</v>
      </c>
      <c r="E8" s="8" t="s">
        <v>57</v>
      </c>
      <c r="F8" s="8" t="s">
        <v>58</v>
      </c>
      <c r="G8" s="8" t="s">
        <v>59</v>
      </c>
      <c r="H8" s="8" t="s">
        <v>60</v>
      </c>
      <c r="I8" s="10" t="s">
        <v>23</v>
      </c>
      <c r="J8" s="8" t="s">
        <v>92</v>
      </c>
      <c r="K8" s="11" t="s">
        <v>47</v>
      </c>
      <c r="L8" s="8"/>
      <c r="M8" s="12"/>
      <c r="N8" s="9" t="s">
        <v>93</v>
      </c>
      <c r="O8" s="9"/>
      <c r="P8" s="13"/>
      <c r="Q8" s="14"/>
    </row>
    <row r="9" customFormat="false" ht="22.35" hidden="false" customHeight="false" outlineLevel="0" collapsed="false">
      <c r="A9" s="8" t="s">
        <v>28</v>
      </c>
      <c r="B9" s="8" t="s">
        <v>63</v>
      </c>
      <c r="C9" s="8" t="s">
        <v>90</v>
      </c>
      <c r="D9" s="9" t="s">
        <v>94</v>
      </c>
      <c r="E9" s="8" t="s">
        <v>65</v>
      </c>
      <c r="F9" s="8" t="s">
        <v>58</v>
      </c>
      <c r="G9" s="8" t="s">
        <v>66</v>
      </c>
      <c r="H9" s="8" t="s">
        <v>60</v>
      </c>
      <c r="I9" s="15" t="s">
        <v>25</v>
      </c>
      <c r="J9" s="8" t="s">
        <v>95</v>
      </c>
      <c r="K9" s="11" t="s">
        <v>47</v>
      </c>
      <c r="L9" s="8"/>
      <c r="M9" s="12"/>
      <c r="N9" s="9" t="s">
        <v>96</v>
      </c>
      <c r="O9" s="9" t="s">
        <v>97</v>
      </c>
      <c r="P9" s="13"/>
      <c r="Q9" s="14"/>
    </row>
    <row r="10" customFormat="false" ht="15" hidden="false" customHeight="false" outlineLevel="0" collapsed="false">
      <c r="A10" s="8" t="s">
        <v>28</v>
      </c>
      <c r="B10" s="8" t="s">
        <v>69</v>
      </c>
      <c r="C10" s="8" t="s">
        <v>90</v>
      </c>
      <c r="D10" s="9" t="s">
        <v>98</v>
      </c>
      <c r="E10" s="8" t="s">
        <v>57</v>
      </c>
      <c r="F10" s="8" t="s">
        <v>58</v>
      </c>
      <c r="G10" s="8" t="s">
        <v>71</v>
      </c>
      <c r="H10" s="8" t="s">
        <v>60</v>
      </c>
      <c r="I10" s="17" t="s">
        <v>24</v>
      </c>
      <c r="J10" s="8" t="s">
        <v>99</v>
      </c>
      <c r="K10" s="11" t="s">
        <v>47</v>
      </c>
      <c r="L10" s="8" t="s">
        <v>100</v>
      </c>
      <c r="M10" s="12" t="n">
        <v>2021</v>
      </c>
      <c r="N10" s="9" t="s">
        <v>101</v>
      </c>
      <c r="O10" s="9"/>
      <c r="P10" s="13"/>
      <c r="Q10" s="14"/>
    </row>
    <row r="11" customFormat="false" ht="15" hidden="false" customHeight="false" outlineLevel="0" collapsed="false">
      <c r="A11" s="8" t="s">
        <v>28</v>
      </c>
      <c r="B11" s="8" t="s">
        <v>74</v>
      </c>
      <c r="C11" s="8" t="s">
        <v>90</v>
      </c>
      <c r="D11" s="9" t="s">
        <v>102</v>
      </c>
      <c r="E11" s="8" t="s">
        <v>76</v>
      </c>
      <c r="F11" s="8" t="s">
        <v>58</v>
      </c>
      <c r="G11" s="8" t="s">
        <v>77</v>
      </c>
      <c r="H11" s="8" t="s">
        <v>60</v>
      </c>
      <c r="I11" s="17" t="s">
        <v>24</v>
      </c>
      <c r="J11" s="8" t="s">
        <v>103</v>
      </c>
      <c r="K11" s="11" t="s">
        <v>47</v>
      </c>
      <c r="L11" s="8" t="s">
        <v>104</v>
      </c>
      <c r="M11" s="12" t="n">
        <v>810</v>
      </c>
      <c r="N11" s="9" t="s">
        <v>105</v>
      </c>
      <c r="O11" s="9"/>
      <c r="P11" s="13"/>
      <c r="Q11" s="14"/>
    </row>
    <row r="12" customFormat="false" ht="15" hidden="false" customHeight="false" outlineLevel="0" collapsed="false">
      <c r="A12" s="8" t="s">
        <v>28</v>
      </c>
      <c r="B12" s="8" t="s">
        <v>80</v>
      </c>
      <c r="C12" s="8" t="s">
        <v>90</v>
      </c>
      <c r="D12" s="9" t="s">
        <v>106</v>
      </c>
      <c r="E12" s="8" t="s">
        <v>57</v>
      </c>
      <c r="F12" s="8" t="s">
        <v>58</v>
      </c>
      <c r="G12" s="8" t="s">
        <v>82</v>
      </c>
      <c r="H12" s="8" t="s">
        <v>60</v>
      </c>
      <c r="I12" s="17" t="s">
        <v>24</v>
      </c>
      <c r="J12" s="8" t="s">
        <v>107</v>
      </c>
      <c r="K12" s="11" t="s">
        <v>47</v>
      </c>
      <c r="L12" s="8" t="s">
        <v>108</v>
      </c>
      <c r="M12" s="12" t="n">
        <v>1358</v>
      </c>
      <c r="N12" s="9" t="s">
        <v>105</v>
      </c>
      <c r="O12" s="9"/>
      <c r="P12" s="13"/>
      <c r="Q12" s="14"/>
    </row>
    <row r="13" customFormat="false" ht="15" hidden="false" customHeight="false" outlineLevel="0" collapsed="false">
      <c r="A13" s="8" t="s">
        <v>28</v>
      </c>
      <c r="B13" s="8" t="s">
        <v>85</v>
      </c>
      <c r="C13" s="8" t="s">
        <v>90</v>
      </c>
      <c r="D13" s="9" t="s">
        <v>98</v>
      </c>
      <c r="E13" s="8" t="s">
        <v>57</v>
      </c>
      <c r="F13" s="8" t="s">
        <v>58</v>
      </c>
      <c r="G13" s="8" t="s">
        <v>109</v>
      </c>
      <c r="H13" s="8" t="s">
        <v>110</v>
      </c>
      <c r="I13" s="17" t="s">
        <v>24</v>
      </c>
      <c r="J13" s="8" t="s">
        <v>99</v>
      </c>
      <c r="K13" s="11" t="s">
        <v>47</v>
      </c>
      <c r="L13" s="8" t="s">
        <v>100</v>
      </c>
      <c r="M13" s="12" t="n">
        <v>2021</v>
      </c>
      <c r="N13" s="9" t="s">
        <v>101</v>
      </c>
      <c r="O13" s="9"/>
      <c r="P13" s="13"/>
      <c r="Q13" s="14"/>
    </row>
    <row r="14" customFormat="false" ht="15" hidden="false" customHeight="false" outlineLevel="0" collapsed="false">
      <c r="A14" s="8" t="s">
        <v>28</v>
      </c>
      <c r="B14" s="8" t="s">
        <v>54</v>
      </c>
      <c r="C14" s="8" t="s">
        <v>111</v>
      </c>
      <c r="D14" s="9" t="s">
        <v>112</v>
      </c>
      <c r="E14" s="8" t="s">
        <v>57</v>
      </c>
      <c r="F14" s="8" t="s">
        <v>58</v>
      </c>
      <c r="G14" s="8" t="s">
        <v>59</v>
      </c>
      <c r="H14" s="8" t="s">
        <v>60</v>
      </c>
      <c r="I14" s="17" t="s">
        <v>24</v>
      </c>
      <c r="J14" s="8" t="s">
        <v>89</v>
      </c>
      <c r="K14" s="11" t="s">
        <v>47</v>
      </c>
      <c r="L14" s="8" t="s">
        <v>113</v>
      </c>
      <c r="M14" s="12" t="n">
        <v>1068</v>
      </c>
      <c r="N14" s="9" t="s">
        <v>114</v>
      </c>
      <c r="O14" s="9"/>
      <c r="P14" s="13"/>
      <c r="Q14" s="14"/>
    </row>
    <row r="15" customFormat="false" ht="15" hidden="false" customHeight="false" outlineLevel="0" collapsed="false">
      <c r="A15" s="8" t="s">
        <v>28</v>
      </c>
      <c r="B15" s="8" t="s">
        <v>63</v>
      </c>
      <c r="C15" s="8" t="s">
        <v>111</v>
      </c>
      <c r="D15" s="9" t="s">
        <v>115</v>
      </c>
      <c r="E15" s="8" t="s">
        <v>65</v>
      </c>
      <c r="F15" s="8" t="s">
        <v>58</v>
      </c>
      <c r="G15" s="8" t="s">
        <v>66</v>
      </c>
      <c r="H15" s="8" t="s">
        <v>60</v>
      </c>
      <c r="I15" s="10" t="s">
        <v>23</v>
      </c>
      <c r="J15" s="8" t="s">
        <v>116</v>
      </c>
      <c r="K15" s="11" t="s">
        <v>47</v>
      </c>
      <c r="L15" s="8"/>
      <c r="M15" s="12"/>
      <c r="N15" s="9" t="s">
        <v>117</v>
      </c>
      <c r="O15" s="9"/>
      <c r="P15" s="13"/>
      <c r="Q15" s="14"/>
    </row>
    <row r="16" customFormat="false" ht="15" hidden="false" customHeight="false" outlineLevel="0" collapsed="false">
      <c r="A16" s="8" t="s">
        <v>28</v>
      </c>
      <c r="B16" s="8" t="s">
        <v>69</v>
      </c>
      <c r="C16" s="8" t="s">
        <v>111</v>
      </c>
      <c r="D16" s="9" t="s">
        <v>118</v>
      </c>
      <c r="E16" s="8" t="s">
        <v>57</v>
      </c>
      <c r="F16" s="8" t="s">
        <v>58</v>
      </c>
      <c r="G16" s="8" t="s">
        <v>71</v>
      </c>
      <c r="H16" s="8" t="s">
        <v>60</v>
      </c>
      <c r="I16" s="17" t="s">
        <v>24</v>
      </c>
      <c r="J16" s="8" t="s">
        <v>119</v>
      </c>
      <c r="K16" s="11" t="s">
        <v>47</v>
      </c>
      <c r="L16" s="8" t="s">
        <v>120</v>
      </c>
      <c r="M16" s="12" t="n">
        <v>1064</v>
      </c>
      <c r="N16" s="9" t="s">
        <v>121</v>
      </c>
      <c r="O16" s="9"/>
      <c r="P16" s="13"/>
      <c r="Q16" s="14"/>
    </row>
    <row r="17" customFormat="false" ht="22.35" hidden="false" customHeight="false" outlineLevel="0" collapsed="false">
      <c r="A17" s="8" t="s">
        <v>28</v>
      </c>
      <c r="B17" s="8" t="s">
        <v>74</v>
      </c>
      <c r="C17" s="8" t="s">
        <v>111</v>
      </c>
      <c r="D17" s="9" t="s">
        <v>122</v>
      </c>
      <c r="E17" s="8" t="s">
        <v>76</v>
      </c>
      <c r="F17" s="8" t="s">
        <v>58</v>
      </c>
      <c r="G17" s="8" t="s">
        <v>77</v>
      </c>
      <c r="H17" s="8" t="s">
        <v>60</v>
      </c>
      <c r="I17" s="15" t="s">
        <v>25</v>
      </c>
      <c r="J17" s="8" t="s">
        <v>123</v>
      </c>
      <c r="K17" s="11" t="s">
        <v>47</v>
      </c>
      <c r="L17" s="8"/>
      <c r="M17" s="12"/>
      <c r="N17" s="9" t="s">
        <v>124</v>
      </c>
      <c r="O17" s="9"/>
      <c r="P17" s="13"/>
      <c r="Q17" s="14"/>
    </row>
    <row r="18" customFormat="false" ht="15" hidden="false" customHeight="false" outlineLevel="0" collapsed="false">
      <c r="A18" s="8" t="s">
        <v>28</v>
      </c>
      <c r="B18" s="8" t="s">
        <v>80</v>
      </c>
      <c r="C18" s="8" t="s">
        <v>111</v>
      </c>
      <c r="D18" s="9" t="s">
        <v>125</v>
      </c>
      <c r="E18" s="8" t="s">
        <v>57</v>
      </c>
      <c r="F18" s="8" t="s">
        <v>58</v>
      </c>
      <c r="G18" s="8" t="s">
        <v>82</v>
      </c>
      <c r="H18" s="8" t="s">
        <v>60</v>
      </c>
      <c r="I18" s="17" t="s">
        <v>24</v>
      </c>
      <c r="J18" s="8" t="s">
        <v>107</v>
      </c>
      <c r="K18" s="11" t="s">
        <v>47</v>
      </c>
      <c r="L18" s="8" t="s">
        <v>126</v>
      </c>
      <c r="M18" s="12" t="n">
        <v>1486</v>
      </c>
      <c r="N18" s="9" t="s">
        <v>105</v>
      </c>
      <c r="O18" s="9"/>
      <c r="P18" s="13"/>
      <c r="Q18" s="14"/>
    </row>
    <row r="19" customFormat="false" ht="15" hidden="false" customHeight="false" outlineLevel="0" collapsed="false">
      <c r="A19" s="8" t="s">
        <v>28</v>
      </c>
      <c r="B19" s="8" t="s">
        <v>85</v>
      </c>
      <c r="C19" s="8" t="s">
        <v>111</v>
      </c>
      <c r="D19" s="9" t="s">
        <v>115</v>
      </c>
      <c r="E19" s="8" t="s">
        <v>65</v>
      </c>
      <c r="F19" s="8" t="s">
        <v>58</v>
      </c>
      <c r="G19" s="8" t="s">
        <v>87</v>
      </c>
      <c r="H19" s="8" t="s">
        <v>88</v>
      </c>
      <c r="I19" s="10" t="s">
        <v>23</v>
      </c>
      <c r="J19" s="8" t="s">
        <v>116</v>
      </c>
      <c r="K19" s="11" t="s">
        <v>47</v>
      </c>
      <c r="L19" s="8"/>
      <c r="M19" s="12"/>
      <c r="N19" s="9" t="s">
        <v>117</v>
      </c>
      <c r="O19" s="9"/>
      <c r="P19" s="13"/>
      <c r="Q19" s="14"/>
    </row>
    <row r="20" customFormat="false" ht="15" hidden="false" customHeight="false" outlineLevel="0" collapsed="false">
      <c r="A20" s="8" t="s">
        <v>28</v>
      </c>
      <c r="B20" s="8" t="s">
        <v>54</v>
      </c>
      <c r="C20" s="8" t="s">
        <v>127</v>
      </c>
      <c r="D20" s="9" t="s">
        <v>128</v>
      </c>
      <c r="E20" s="8" t="s">
        <v>57</v>
      </c>
      <c r="F20" s="8" t="s">
        <v>58</v>
      </c>
      <c r="G20" s="8" t="s">
        <v>59</v>
      </c>
      <c r="H20" s="8" t="s">
        <v>60</v>
      </c>
      <c r="I20" s="10" t="s">
        <v>23</v>
      </c>
      <c r="J20" s="8" t="s">
        <v>129</v>
      </c>
      <c r="K20" s="11" t="s">
        <v>47</v>
      </c>
      <c r="L20" s="8"/>
      <c r="M20" s="12"/>
      <c r="N20" s="9" t="s">
        <v>130</v>
      </c>
      <c r="O20" s="9"/>
      <c r="P20" s="13"/>
      <c r="Q20" s="14"/>
    </row>
    <row r="21" customFormat="false" ht="15" hidden="false" customHeight="false" outlineLevel="0" collapsed="false">
      <c r="A21" s="8" t="s">
        <v>28</v>
      </c>
      <c r="B21" s="8" t="s">
        <v>63</v>
      </c>
      <c r="C21" s="8" t="s">
        <v>127</v>
      </c>
      <c r="D21" s="9" t="s">
        <v>131</v>
      </c>
      <c r="E21" s="8" t="s">
        <v>65</v>
      </c>
      <c r="F21" s="8" t="s">
        <v>58</v>
      </c>
      <c r="G21" s="8" t="s">
        <v>66</v>
      </c>
      <c r="H21" s="8" t="s">
        <v>60</v>
      </c>
      <c r="I21" s="10" t="s">
        <v>23</v>
      </c>
      <c r="J21" s="8" t="s">
        <v>132</v>
      </c>
      <c r="K21" s="11" t="s">
        <v>47</v>
      </c>
      <c r="L21" s="8"/>
      <c r="M21" s="12"/>
      <c r="N21" s="9" t="s">
        <v>133</v>
      </c>
      <c r="O21" s="9"/>
      <c r="P21" s="13"/>
      <c r="Q21" s="14"/>
    </row>
    <row r="22" customFormat="false" ht="15" hidden="false" customHeight="false" outlineLevel="0" collapsed="false">
      <c r="A22" s="8" t="s">
        <v>28</v>
      </c>
      <c r="B22" s="8" t="s">
        <v>69</v>
      </c>
      <c r="C22" s="8" t="s">
        <v>127</v>
      </c>
      <c r="D22" s="9" t="s">
        <v>134</v>
      </c>
      <c r="E22" s="8" t="s">
        <v>57</v>
      </c>
      <c r="F22" s="8" t="s">
        <v>58</v>
      </c>
      <c r="G22" s="8" t="s">
        <v>71</v>
      </c>
      <c r="H22" s="8" t="s">
        <v>60</v>
      </c>
      <c r="I22" s="17" t="s">
        <v>24</v>
      </c>
      <c r="J22" s="8" t="s">
        <v>99</v>
      </c>
      <c r="K22" s="11" t="s">
        <v>47</v>
      </c>
      <c r="L22" s="8" t="s">
        <v>135</v>
      </c>
      <c r="M22" s="12" t="n">
        <v>2082</v>
      </c>
      <c r="N22" s="9" t="s">
        <v>101</v>
      </c>
      <c r="O22" s="9"/>
      <c r="P22" s="13"/>
      <c r="Q22" s="14"/>
    </row>
    <row r="23" customFormat="false" ht="15" hidden="false" customHeight="false" outlineLevel="0" collapsed="false">
      <c r="A23" s="8" t="s">
        <v>28</v>
      </c>
      <c r="B23" s="8" t="s">
        <v>74</v>
      </c>
      <c r="C23" s="8" t="s">
        <v>127</v>
      </c>
      <c r="D23" s="9" t="s">
        <v>136</v>
      </c>
      <c r="E23" s="8" t="s">
        <v>76</v>
      </c>
      <c r="F23" s="8" t="s">
        <v>58</v>
      </c>
      <c r="G23" s="8" t="s">
        <v>77</v>
      </c>
      <c r="H23" s="8" t="s">
        <v>60</v>
      </c>
      <c r="I23" s="10" t="s">
        <v>23</v>
      </c>
      <c r="J23" s="8" t="s">
        <v>137</v>
      </c>
      <c r="K23" s="11" t="s">
        <v>47</v>
      </c>
      <c r="L23" s="8"/>
      <c r="M23" s="12"/>
      <c r="N23" s="9" t="s">
        <v>138</v>
      </c>
      <c r="O23" s="9"/>
      <c r="P23" s="13"/>
      <c r="Q23" s="14"/>
    </row>
    <row r="24" customFormat="false" ht="15" hidden="false" customHeight="false" outlineLevel="0" collapsed="false">
      <c r="A24" s="8" t="s">
        <v>28</v>
      </c>
      <c r="B24" s="8" t="s">
        <v>80</v>
      </c>
      <c r="C24" s="8" t="s">
        <v>127</v>
      </c>
      <c r="D24" s="9" t="s">
        <v>139</v>
      </c>
      <c r="E24" s="8" t="s">
        <v>57</v>
      </c>
      <c r="F24" s="8" t="s">
        <v>58</v>
      </c>
      <c r="G24" s="8" t="s">
        <v>82</v>
      </c>
      <c r="H24" s="8" t="s">
        <v>60</v>
      </c>
      <c r="I24" s="10" t="s">
        <v>23</v>
      </c>
      <c r="J24" s="8" t="s">
        <v>140</v>
      </c>
      <c r="K24" s="11" t="s">
        <v>47</v>
      </c>
      <c r="L24" s="8"/>
      <c r="M24" s="12"/>
      <c r="N24" s="9" t="s">
        <v>73</v>
      </c>
      <c r="O24" s="9"/>
      <c r="P24" s="13"/>
      <c r="Q24" s="14"/>
    </row>
    <row r="25" customFormat="false" ht="15" hidden="false" customHeight="false" outlineLevel="0" collapsed="false">
      <c r="A25" s="8" t="s">
        <v>28</v>
      </c>
      <c r="B25" s="8" t="s">
        <v>85</v>
      </c>
      <c r="C25" s="8" t="s">
        <v>127</v>
      </c>
      <c r="D25" s="9" t="s">
        <v>141</v>
      </c>
      <c r="E25" s="8" t="s">
        <v>57</v>
      </c>
      <c r="F25" s="8" t="s">
        <v>58</v>
      </c>
      <c r="G25" s="8" t="s">
        <v>87</v>
      </c>
      <c r="H25" s="8" t="s">
        <v>88</v>
      </c>
      <c r="I25" s="10" t="s">
        <v>23</v>
      </c>
      <c r="J25" s="8" t="s">
        <v>142</v>
      </c>
      <c r="K25" s="11" t="s">
        <v>47</v>
      </c>
      <c r="L25" s="8"/>
      <c r="M25" s="12"/>
      <c r="N25" s="9" t="s">
        <v>143</v>
      </c>
      <c r="O25" s="9"/>
      <c r="P25" s="13"/>
      <c r="Q25" s="14"/>
    </row>
    <row r="26" customFormat="false" ht="15" hidden="false" customHeight="false" outlineLevel="0" collapsed="false">
      <c r="A26" s="8" t="s">
        <v>29</v>
      </c>
      <c r="B26" s="8" t="s">
        <v>54</v>
      </c>
      <c r="C26" s="8" t="s">
        <v>55</v>
      </c>
      <c r="D26" s="9" t="s">
        <v>144</v>
      </c>
      <c r="E26" s="8" t="s">
        <v>145</v>
      </c>
      <c r="F26" s="8" t="s">
        <v>146</v>
      </c>
      <c r="G26" s="8" t="s">
        <v>147</v>
      </c>
      <c r="H26" s="8" t="s">
        <v>60</v>
      </c>
      <c r="I26" s="17" t="s">
        <v>24</v>
      </c>
      <c r="J26" s="8" t="s">
        <v>148</v>
      </c>
      <c r="K26" s="11" t="s">
        <v>47</v>
      </c>
      <c r="L26" s="8" t="s">
        <v>149</v>
      </c>
      <c r="M26" s="12" t="n">
        <v>2380</v>
      </c>
      <c r="N26" s="9" t="s">
        <v>150</v>
      </c>
      <c r="O26" s="9"/>
      <c r="P26" s="13"/>
      <c r="Q26" s="14"/>
    </row>
    <row r="27" customFormat="false" ht="15" hidden="false" customHeight="false" outlineLevel="0" collapsed="false">
      <c r="A27" s="8" t="s">
        <v>29</v>
      </c>
      <c r="B27" s="8" t="s">
        <v>63</v>
      </c>
      <c r="C27" s="8" t="s">
        <v>55</v>
      </c>
      <c r="D27" s="9" t="s">
        <v>151</v>
      </c>
      <c r="E27" s="8" t="s">
        <v>145</v>
      </c>
      <c r="F27" s="8" t="s">
        <v>146</v>
      </c>
      <c r="G27" s="8" t="s">
        <v>152</v>
      </c>
      <c r="H27" s="8" t="s">
        <v>60</v>
      </c>
      <c r="I27" s="10" t="s">
        <v>23</v>
      </c>
      <c r="J27" s="8" t="s">
        <v>153</v>
      </c>
      <c r="K27" s="11" t="s">
        <v>47</v>
      </c>
      <c r="L27" s="8"/>
      <c r="M27" s="12"/>
      <c r="N27" s="9" t="s">
        <v>68</v>
      </c>
      <c r="O27" s="9"/>
      <c r="P27" s="13"/>
      <c r="Q27" s="14"/>
    </row>
    <row r="28" customFormat="false" ht="15" hidden="false" customHeight="false" outlineLevel="0" collapsed="false">
      <c r="A28" s="8" t="s">
        <v>29</v>
      </c>
      <c r="B28" s="8" t="s">
        <v>69</v>
      </c>
      <c r="C28" s="8" t="s">
        <v>55</v>
      </c>
      <c r="D28" s="9" t="s">
        <v>154</v>
      </c>
      <c r="E28" s="8" t="s">
        <v>145</v>
      </c>
      <c r="F28" s="8" t="s">
        <v>146</v>
      </c>
      <c r="G28" s="8" t="s">
        <v>155</v>
      </c>
      <c r="H28" s="8" t="s">
        <v>60</v>
      </c>
      <c r="I28" s="10" t="s">
        <v>23</v>
      </c>
      <c r="J28" s="8" t="s">
        <v>156</v>
      </c>
      <c r="K28" s="11" t="s">
        <v>47</v>
      </c>
      <c r="L28" s="8"/>
      <c r="M28" s="12"/>
      <c r="N28" s="9" t="s">
        <v>73</v>
      </c>
      <c r="O28" s="9"/>
      <c r="P28" s="13"/>
      <c r="Q28" s="14"/>
    </row>
    <row r="29" customFormat="false" ht="15" hidden="false" customHeight="false" outlineLevel="0" collapsed="false">
      <c r="A29" s="8" t="s">
        <v>29</v>
      </c>
      <c r="B29" s="8" t="s">
        <v>74</v>
      </c>
      <c r="C29" s="8" t="s">
        <v>55</v>
      </c>
      <c r="D29" s="9" t="s">
        <v>157</v>
      </c>
      <c r="E29" s="8" t="s">
        <v>145</v>
      </c>
      <c r="F29" s="8" t="s">
        <v>146</v>
      </c>
      <c r="G29" s="8" t="s">
        <v>158</v>
      </c>
      <c r="H29" s="8" t="s">
        <v>60</v>
      </c>
      <c r="I29" s="10" t="s">
        <v>23</v>
      </c>
      <c r="J29" s="8" t="s">
        <v>159</v>
      </c>
      <c r="K29" s="11" t="s">
        <v>47</v>
      </c>
      <c r="L29" s="8"/>
      <c r="M29" s="12"/>
      <c r="N29" s="9" t="s">
        <v>160</v>
      </c>
      <c r="O29" s="9"/>
      <c r="P29" s="13"/>
      <c r="Q29" s="14"/>
    </row>
    <row r="30" customFormat="false" ht="15" hidden="false" customHeight="false" outlineLevel="0" collapsed="false">
      <c r="A30" s="8" t="s">
        <v>29</v>
      </c>
      <c r="B30" s="8" t="s">
        <v>80</v>
      </c>
      <c r="C30" s="8" t="s">
        <v>55</v>
      </c>
      <c r="D30" s="9" t="s">
        <v>161</v>
      </c>
      <c r="E30" s="8" t="s">
        <v>145</v>
      </c>
      <c r="F30" s="8" t="s">
        <v>146</v>
      </c>
      <c r="G30" s="8" t="s">
        <v>162</v>
      </c>
      <c r="H30" s="8" t="s">
        <v>60</v>
      </c>
      <c r="I30" s="10" t="s">
        <v>23</v>
      </c>
      <c r="J30" s="8" t="s">
        <v>163</v>
      </c>
      <c r="K30" s="11" t="s">
        <v>47</v>
      </c>
      <c r="L30" s="8"/>
      <c r="M30" s="12"/>
      <c r="N30" s="9" t="s">
        <v>164</v>
      </c>
      <c r="O30" s="9"/>
      <c r="P30" s="13"/>
      <c r="Q30" s="14"/>
    </row>
    <row r="31" customFormat="false" ht="15" hidden="false" customHeight="false" outlineLevel="0" collapsed="false">
      <c r="A31" s="8" t="s">
        <v>29</v>
      </c>
      <c r="B31" s="8" t="s">
        <v>85</v>
      </c>
      <c r="C31" s="8" t="s">
        <v>55</v>
      </c>
      <c r="D31" s="9" t="s">
        <v>165</v>
      </c>
      <c r="E31" s="8" t="s">
        <v>145</v>
      </c>
      <c r="F31" s="8" t="s">
        <v>146</v>
      </c>
      <c r="G31" s="8" t="s">
        <v>166</v>
      </c>
      <c r="H31" s="8" t="s">
        <v>110</v>
      </c>
      <c r="I31" s="10" t="s">
        <v>23</v>
      </c>
      <c r="J31" s="8" t="s">
        <v>167</v>
      </c>
      <c r="K31" s="11" t="s">
        <v>47</v>
      </c>
      <c r="L31" s="8"/>
      <c r="M31" s="12"/>
      <c r="N31" s="9" t="s">
        <v>168</v>
      </c>
      <c r="O31" s="9"/>
      <c r="P31" s="13"/>
      <c r="Q31" s="14"/>
    </row>
    <row r="32" customFormat="false" ht="15" hidden="false" customHeight="false" outlineLevel="0" collapsed="false">
      <c r="A32" s="8" t="s">
        <v>29</v>
      </c>
      <c r="B32" s="8" t="s">
        <v>54</v>
      </c>
      <c r="C32" s="8" t="s">
        <v>90</v>
      </c>
      <c r="D32" s="9" t="s">
        <v>169</v>
      </c>
      <c r="E32" s="8" t="s">
        <v>145</v>
      </c>
      <c r="F32" s="8" t="s">
        <v>146</v>
      </c>
      <c r="G32" s="8" t="s">
        <v>147</v>
      </c>
      <c r="H32" s="8" t="s">
        <v>60</v>
      </c>
      <c r="I32" s="10" t="s">
        <v>23</v>
      </c>
      <c r="J32" s="8" t="s">
        <v>170</v>
      </c>
      <c r="K32" s="11" t="s">
        <v>47</v>
      </c>
      <c r="L32" s="8"/>
      <c r="M32" s="12"/>
      <c r="N32" s="9" t="s">
        <v>73</v>
      </c>
      <c r="O32" s="9"/>
      <c r="P32" s="13"/>
      <c r="Q32" s="14"/>
    </row>
    <row r="33" customFormat="false" ht="15" hidden="false" customHeight="false" outlineLevel="0" collapsed="false">
      <c r="A33" s="8" t="s">
        <v>29</v>
      </c>
      <c r="B33" s="8" t="s">
        <v>63</v>
      </c>
      <c r="C33" s="8" t="s">
        <v>90</v>
      </c>
      <c r="D33" s="9" t="s">
        <v>171</v>
      </c>
      <c r="E33" s="8" t="s">
        <v>145</v>
      </c>
      <c r="F33" s="8" t="s">
        <v>146</v>
      </c>
      <c r="G33" s="8" t="s">
        <v>152</v>
      </c>
      <c r="H33" s="8" t="s">
        <v>60</v>
      </c>
      <c r="I33" s="10" t="s">
        <v>23</v>
      </c>
      <c r="J33" s="8" t="s">
        <v>172</v>
      </c>
      <c r="K33" s="11" t="s">
        <v>47</v>
      </c>
      <c r="L33" s="8"/>
      <c r="M33" s="12"/>
      <c r="N33" s="9" t="s">
        <v>68</v>
      </c>
      <c r="O33" s="9"/>
      <c r="P33" s="13"/>
      <c r="Q33" s="14"/>
    </row>
    <row r="34" customFormat="false" ht="15" hidden="false" customHeight="false" outlineLevel="0" collapsed="false">
      <c r="A34" s="8" t="s">
        <v>29</v>
      </c>
      <c r="B34" s="8" t="s">
        <v>69</v>
      </c>
      <c r="C34" s="8" t="s">
        <v>90</v>
      </c>
      <c r="D34" s="9" t="s">
        <v>173</v>
      </c>
      <c r="E34" s="8" t="s">
        <v>145</v>
      </c>
      <c r="F34" s="8" t="s">
        <v>146</v>
      </c>
      <c r="G34" s="8" t="s">
        <v>155</v>
      </c>
      <c r="H34" s="8" t="s">
        <v>60</v>
      </c>
      <c r="I34" s="10" t="s">
        <v>23</v>
      </c>
      <c r="J34" s="8" t="s">
        <v>174</v>
      </c>
      <c r="K34" s="11" t="s">
        <v>47</v>
      </c>
      <c r="L34" s="8"/>
      <c r="M34" s="12"/>
      <c r="N34" s="9" t="s">
        <v>73</v>
      </c>
      <c r="O34" s="9"/>
      <c r="P34" s="13"/>
      <c r="Q34" s="14"/>
    </row>
    <row r="35" customFormat="false" ht="15" hidden="false" customHeight="false" outlineLevel="0" collapsed="false">
      <c r="A35" s="8" t="s">
        <v>29</v>
      </c>
      <c r="B35" s="8" t="s">
        <v>74</v>
      </c>
      <c r="C35" s="8" t="s">
        <v>90</v>
      </c>
      <c r="D35" s="9" t="s">
        <v>175</v>
      </c>
      <c r="E35" s="8" t="s">
        <v>145</v>
      </c>
      <c r="F35" s="8" t="s">
        <v>146</v>
      </c>
      <c r="G35" s="8" t="s">
        <v>158</v>
      </c>
      <c r="H35" s="8" t="s">
        <v>60</v>
      </c>
      <c r="I35" s="17" t="s">
        <v>24</v>
      </c>
      <c r="J35" s="8" t="s">
        <v>176</v>
      </c>
      <c r="K35" s="11" t="s">
        <v>47</v>
      </c>
      <c r="L35" s="8" t="s">
        <v>177</v>
      </c>
      <c r="M35" s="12" t="n">
        <v>4156</v>
      </c>
      <c r="N35" s="9" t="s">
        <v>178</v>
      </c>
      <c r="O35" s="9"/>
      <c r="P35" s="13"/>
      <c r="Q35" s="14"/>
    </row>
    <row r="36" customFormat="false" ht="15" hidden="false" customHeight="false" outlineLevel="0" collapsed="false">
      <c r="A36" s="8" t="s">
        <v>29</v>
      </c>
      <c r="B36" s="8" t="s">
        <v>80</v>
      </c>
      <c r="C36" s="8" t="s">
        <v>90</v>
      </c>
      <c r="D36" s="9" t="s">
        <v>179</v>
      </c>
      <c r="E36" s="8" t="s">
        <v>145</v>
      </c>
      <c r="F36" s="8" t="s">
        <v>146</v>
      </c>
      <c r="G36" s="8" t="s">
        <v>162</v>
      </c>
      <c r="H36" s="8" t="s">
        <v>60</v>
      </c>
      <c r="I36" s="10" t="s">
        <v>23</v>
      </c>
      <c r="J36" s="8" t="s">
        <v>180</v>
      </c>
      <c r="K36" s="11" t="s">
        <v>47</v>
      </c>
      <c r="L36" s="8"/>
      <c r="M36" s="12"/>
      <c r="N36" s="9" t="s">
        <v>73</v>
      </c>
      <c r="O36" s="9"/>
      <c r="P36" s="13"/>
      <c r="Q36" s="14"/>
    </row>
    <row r="37" customFormat="false" ht="15" hidden="false" customHeight="false" outlineLevel="0" collapsed="false">
      <c r="A37" s="8" t="s">
        <v>29</v>
      </c>
      <c r="B37" s="8" t="s">
        <v>85</v>
      </c>
      <c r="C37" s="8" t="s">
        <v>90</v>
      </c>
      <c r="D37" s="9" t="s">
        <v>181</v>
      </c>
      <c r="E37" s="8" t="s">
        <v>145</v>
      </c>
      <c r="F37" s="8" t="s">
        <v>146</v>
      </c>
      <c r="G37" s="8" t="s">
        <v>182</v>
      </c>
      <c r="H37" s="8" t="s">
        <v>110</v>
      </c>
      <c r="I37" s="10" t="s">
        <v>23</v>
      </c>
      <c r="J37" s="8" t="s">
        <v>183</v>
      </c>
      <c r="K37" s="11" t="s">
        <v>47</v>
      </c>
      <c r="L37" s="8"/>
      <c r="M37" s="12"/>
      <c r="N37" s="9" t="s">
        <v>184</v>
      </c>
      <c r="O37" s="9"/>
      <c r="P37" s="13"/>
      <c r="Q37" s="14"/>
    </row>
    <row r="38" customFormat="false" ht="15" hidden="false" customHeight="false" outlineLevel="0" collapsed="false">
      <c r="A38" s="8" t="s">
        <v>29</v>
      </c>
      <c r="B38" s="8" t="s">
        <v>54</v>
      </c>
      <c r="C38" s="8" t="s">
        <v>111</v>
      </c>
      <c r="D38" s="9" t="s">
        <v>185</v>
      </c>
      <c r="E38" s="8" t="s">
        <v>145</v>
      </c>
      <c r="F38" s="8" t="s">
        <v>146</v>
      </c>
      <c r="G38" s="8" t="s">
        <v>147</v>
      </c>
      <c r="H38" s="8" t="s">
        <v>60</v>
      </c>
      <c r="I38" s="10" t="s">
        <v>23</v>
      </c>
      <c r="J38" s="8" t="s">
        <v>186</v>
      </c>
      <c r="K38" s="11" t="s">
        <v>47</v>
      </c>
      <c r="L38" s="8"/>
      <c r="M38" s="12"/>
      <c r="N38" s="9" t="s">
        <v>73</v>
      </c>
      <c r="O38" s="9"/>
      <c r="P38" s="13"/>
      <c r="Q38" s="14"/>
    </row>
    <row r="39" customFormat="false" ht="15" hidden="false" customHeight="false" outlineLevel="0" collapsed="false">
      <c r="A39" s="8" t="s">
        <v>29</v>
      </c>
      <c r="B39" s="8" t="s">
        <v>63</v>
      </c>
      <c r="C39" s="8" t="s">
        <v>111</v>
      </c>
      <c r="D39" s="9" t="s">
        <v>187</v>
      </c>
      <c r="E39" s="8" t="s">
        <v>145</v>
      </c>
      <c r="F39" s="8" t="s">
        <v>146</v>
      </c>
      <c r="G39" s="8" t="s">
        <v>152</v>
      </c>
      <c r="H39" s="8" t="s">
        <v>60</v>
      </c>
      <c r="I39" s="10" t="s">
        <v>23</v>
      </c>
      <c r="J39" s="8" t="s">
        <v>188</v>
      </c>
      <c r="K39" s="11" t="s">
        <v>47</v>
      </c>
      <c r="L39" s="8"/>
      <c r="M39" s="12"/>
      <c r="N39" s="9" t="s">
        <v>189</v>
      </c>
      <c r="O39" s="9"/>
      <c r="P39" s="13"/>
      <c r="Q39" s="14"/>
    </row>
    <row r="40" customFormat="false" ht="15" hidden="false" customHeight="false" outlineLevel="0" collapsed="false">
      <c r="A40" s="8" t="s">
        <v>29</v>
      </c>
      <c r="B40" s="8" t="s">
        <v>69</v>
      </c>
      <c r="C40" s="8" t="s">
        <v>111</v>
      </c>
      <c r="D40" s="9" t="s">
        <v>190</v>
      </c>
      <c r="E40" s="8" t="s">
        <v>145</v>
      </c>
      <c r="F40" s="8" t="s">
        <v>146</v>
      </c>
      <c r="G40" s="8" t="s">
        <v>155</v>
      </c>
      <c r="H40" s="8" t="s">
        <v>60</v>
      </c>
      <c r="I40" s="10" t="s">
        <v>23</v>
      </c>
      <c r="J40" s="8" t="s">
        <v>191</v>
      </c>
      <c r="K40" s="11" t="s">
        <v>47</v>
      </c>
      <c r="L40" s="8"/>
      <c r="M40" s="12"/>
      <c r="N40" s="9" t="s">
        <v>68</v>
      </c>
      <c r="O40" s="9"/>
      <c r="P40" s="13"/>
      <c r="Q40" s="14"/>
    </row>
    <row r="41" customFormat="false" ht="22.35" hidden="false" customHeight="false" outlineLevel="0" collapsed="false">
      <c r="A41" s="8" t="s">
        <v>29</v>
      </c>
      <c r="B41" s="8" t="s">
        <v>74</v>
      </c>
      <c r="C41" s="8" t="s">
        <v>111</v>
      </c>
      <c r="D41" s="9" t="s">
        <v>192</v>
      </c>
      <c r="E41" s="8" t="s">
        <v>145</v>
      </c>
      <c r="F41" s="8" t="s">
        <v>146</v>
      </c>
      <c r="G41" s="8" t="s">
        <v>158</v>
      </c>
      <c r="H41" s="8" t="s">
        <v>60</v>
      </c>
      <c r="I41" s="15" t="s">
        <v>25</v>
      </c>
      <c r="J41" s="8" t="s">
        <v>193</v>
      </c>
      <c r="K41" s="11" t="s">
        <v>47</v>
      </c>
      <c r="L41" s="8"/>
      <c r="M41" s="12"/>
      <c r="N41" s="9" t="s">
        <v>194</v>
      </c>
      <c r="O41" s="9" t="s">
        <v>195</v>
      </c>
      <c r="P41" s="13"/>
      <c r="Q41" s="14"/>
    </row>
    <row r="42" customFormat="false" ht="15" hidden="false" customHeight="false" outlineLevel="0" collapsed="false">
      <c r="A42" s="8" t="s">
        <v>29</v>
      </c>
      <c r="B42" s="8" t="s">
        <v>80</v>
      </c>
      <c r="C42" s="8" t="s">
        <v>111</v>
      </c>
      <c r="D42" s="9" t="s">
        <v>196</v>
      </c>
      <c r="E42" s="8" t="s">
        <v>145</v>
      </c>
      <c r="F42" s="8" t="s">
        <v>146</v>
      </c>
      <c r="G42" s="8" t="s">
        <v>162</v>
      </c>
      <c r="H42" s="8" t="s">
        <v>60</v>
      </c>
      <c r="I42" s="10" t="s">
        <v>23</v>
      </c>
      <c r="J42" s="8" t="s">
        <v>197</v>
      </c>
      <c r="K42" s="11" t="s">
        <v>47</v>
      </c>
      <c r="L42" s="8"/>
      <c r="M42" s="12"/>
      <c r="N42" s="9" t="s">
        <v>68</v>
      </c>
      <c r="O42" s="9"/>
      <c r="P42" s="13"/>
      <c r="Q42" s="14"/>
    </row>
    <row r="43" customFormat="false" ht="15" hidden="false" customHeight="false" outlineLevel="0" collapsed="false">
      <c r="A43" s="8" t="s">
        <v>29</v>
      </c>
      <c r="B43" s="8" t="s">
        <v>85</v>
      </c>
      <c r="C43" s="8" t="s">
        <v>111</v>
      </c>
      <c r="D43" s="9" t="s">
        <v>198</v>
      </c>
      <c r="E43" s="8" t="s">
        <v>145</v>
      </c>
      <c r="F43" s="8" t="s">
        <v>146</v>
      </c>
      <c r="G43" s="8" t="s">
        <v>199</v>
      </c>
      <c r="H43" s="8" t="s">
        <v>110</v>
      </c>
      <c r="I43" s="10" t="s">
        <v>23</v>
      </c>
      <c r="J43" s="8" t="s">
        <v>200</v>
      </c>
      <c r="K43" s="11" t="s">
        <v>47</v>
      </c>
      <c r="L43" s="8"/>
      <c r="M43" s="12"/>
      <c r="N43" s="9" t="s">
        <v>201</v>
      </c>
      <c r="O43" s="9"/>
      <c r="P43" s="13"/>
      <c r="Q43" s="14"/>
    </row>
    <row r="44" customFormat="false" ht="15" hidden="false" customHeight="false" outlineLevel="0" collapsed="false">
      <c r="A44" s="8" t="s">
        <v>29</v>
      </c>
      <c r="B44" s="8" t="s">
        <v>54</v>
      </c>
      <c r="C44" s="8" t="s">
        <v>127</v>
      </c>
      <c r="D44" s="9" t="s">
        <v>202</v>
      </c>
      <c r="E44" s="8" t="s">
        <v>145</v>
      </c>
      <c r="F44" s="8" t="s">
        <v>146</v>
      </c>
      <c r="G44" s="8" t="s">
        <v>147</v>
      </c>
      <c r="H44" s="8" t="s">
        <v>60</v>
      </c>
      <c r="I44" s="10" t="s">
        <v>23</v>
      </c>
      <c r="J44" s="8" t="s">
        <v>203</v>
      </c>
      <c r="K44" s="11" t="s">
        <v>47</v>
      </c>
      <c r="L44" s="8"/>
      <c r="M44" s="12"/>
      <c r="N44" s="9" t="s">
        <v>68</v>
      </c>
      <c r="O44" s="9"/>
      <c r="P44" s="13"/>
      <c r="Q44" s="14"/>
    </row>
    <row r="45" customFormat="false" ht="22.35" hidden="false" customHeight="false" outlineLevel="0" collapsed="false">
      <c r="A45" s="8" t="s">
        <v>29</v>
      </c>
      <c r="B45" s="8" t="s">
        <v>63</v>
      </c>
      <c r="C45" s="8" t="s">
        <v>127</v>
      </c>
      <c r="D45" s="9" t="s">
        <v>204</v>
      </c>
      <c r="E45" s="8" t="s">
        <v>145</v>
      </c>
      <c r="F45" s="8" t="s">
        <v>146</v>
      </c>
      <c r="G45" s="8" t="s">
        <v>152</v>
      </c>
      <c r="H45" s="8" t="s">
        <v>60</v>
      </c>
      <c r="I45" s="15" t="s">
        <v>25</v>
      </c>
      <c r="J45" s="8" t="s">
        <v>205</v>
      </c>
      <c r="K45" s="11" t="s">
        <v>47</v>
      </c>
      <c r="L45" s="8"/>
      <c r="M45" s="12"/>
      <c r="N45" s="9" t="s">
        <v>206</v>
      </c>
      <c r="O45" s="9" t="s">
        <v>207</v>
      </c>
      <c r="P45" s="13"/>
      <c r="Q45" s="14"/>
    </row>
    <row r="46" customFormat="false" ht="15" hidden="false" customHeight="false" outlineLevel="0" collapsed="false">
      <c r="A46" s="8" t="s">
        <v>29</v>
      </c>
      <c r="B46" s="8" t="s">
        <v>69</v>
      </c>
      <c r="C46" s="8" t="s">
        <v>127</v>
      </c>
      <c r="D46" s="9" t="s">
        <v>208</v>
      </c>
      <c r="E46" s="8" t="s">
        <v>145</v>
      </c>
      <c r="F46" s="8" t="s">
        <v>146</v>
      </c>
      <c r="G46" s="8" t="s">
        <v>155</v>
      </c>
      <c r="H46" s="8" t="s">
        <v>60</v>
      </c>
      <c r="I46" s="10" t="s">
        <v>23</v>
      </c>
      <c r="J46" s="8" t="s">
        <v>209</v>
      </c>
      <c r="K46" s="11" t="s">
        <v>47</v>
      </c>
      <c r="L46" s="8"/>
      <c r="M46" s="12"/>
      <c r="N46" s="9" t="s">
        <v>73</v>
      </c>
      <c r="O46" s="9"/>
      <c r="P46" s="13"/>
      <c r="Q46" s="14"/>
    </row>
    <row r="47" customFormat="false" ht="15" hidden="false" customHeight="false" outlineLevel="0" collapsed="false">
      <c r="A47" s="8" t="s">
        <v>29</v>
      </c>
      <c r="B47" s="8" t="s">
        <v>74</v>
      </c>
      <c r="C47" s="8" t="s">
        <v>127</v>
      </c>
      <c r="D47" s="9" t="s">
        <v>210</v>
      </c>
      <c r="E47" s="8" t="s">
        <v>145</v>
      </c>
      <c r="F47" s="8" t="s">
        <v>146</v>
      </c>
      <c r="G47" s="8" t="s">
        <v>158</v>
      </c>
      <c r="H47" s="8" t="s">
        <v>60</v>
      </c>
      <c r="I47" s="10" t="s">
        <v>23</v>
      </c>
      <c r="J47" s="8" t="s">
        <v>211</v>
      </c>
      <c r="K47" s="11" t="s">
        <v>47</v>
      </c>
      <c r="L47" s="8"/>
      <c r="M47" s="12"/>
      <c r="N47" s="9" t="s">
        <v>212</v>
      </c>
      <c r="O47" s="9"/>
      <c r="P47" s="13"/>
      <c r="Q47" s="14"/>
    </row>
    <row r="48" customFormat="false" ht="15" hidden="false" customHeight="false" outlineLevel="0" collapsed="false">
      <c r="A48" s="8" t="s">
        <v>29</v>
      </c>
      <c r="B48" s="8" t="s">
        <v>80</v>
      </c>
      <c r="C48" s="8" t="s">
        <v>127</v>
      </c>
      <c r="D48" s="9" t="s">
        <v>213</v>
      </c>
      <c r="E48" s="8" t="s">
        <v>145</v>
      </c>
      <c r="F48" s="8" t="s">
        <v>146</v>
      </c>
      <c r="G48" s="8" t="s">
        <v>162</v>
      </c>
      <c r="H48" s="8" t="s">
        <v>60</v>
      </c>
      <c r="I48" s="10" t="s">
        <v>23</v>
      </c>
      <c r="J48" s="8" t="s">
        <v>214</v>
      </c>
      <c r="K48" s="11" t="s">
        <v>47</v>
      </c>
      <c r="L48" s="8"/>
      <c r="M48" s="12"/>
      <c r="N48" s="9" t="s">
        <v>73</v>
      </c>
      <c r="O48" s="9"/>
      <c r="P48" s="13"/>
      <c r="Q48" s="14"/>
    </row>
    <row r="49" customFormat="false" ht="15" hidden="false" customHeight="false" outlineLevel="0" collapsed="false">
      <c r="A49" s="8" t="s">
        <v>30</v>
      </c>
      <c r="B49" s="8" t="s">
        <v>54</v>
      </c>
      <c r="C49" s="8" t="s">
        <v>55</v>
      </c>
      <c r="D49" s="9" t="s">
        <v>215</v>
      </c>
      <c r="E49" s="8" t="s">
        <v>216</v>
      </c>
      <c r="F49" s="8" t="s">
        <v>217</v>
      </c>
      <c r="G49" s="8" t="s">
        <v>218</v>
      </c>
      <c r="H49" s="8"/>
      <c r="I49" s="10" t="s">
        <v>23</v>
      </c>
      <c r="J49" s="8" t="s">
        <v>219</v>
      </c>
      <c r="K49" s="11" t="s">
        <v>47</v>
      </c>
      <c r="L49" s="8"/>
      <c r="M49" s="12"/>
      <c r="N49" s="9" t="s">
        <v>73</v>
      </c>
      <c r="O49" s="9"/>
      <c r="P49" s="13"/>
      <c r="Q49" s="14"/>
    </row>
    <row r="50" customFormat="false" ht="22.35" hidden="false" customHeight="false" outlineLevel="0" collapsed="false">
      <c r="A50" s="8" t="s">
        <v>30</v>
      </c>
      <c r="B50" s="8" t="s">
        <v>63</v>
      </c>
      <c r="C50" s="8" t="s">
        <v>55</v>
      </c>
      <c r="D50" s="9" t="s">
        <v>220</v>
      </c>
      <c r="E50" s="8" t="s">
        <v>221</v>
      </c>
      <c r="F50" s="8" t="s">
        <v>217</v>
      </c>
      <c r="G50" s="8" t="s">
        <v>218</v>
      </c>
      <c r="H50" s="8"/>
      <c r="I50" s="15" t="s">
        <v>25</v>
      </c>
      <c r="J50" s="8" t="s">
        <v>222</v>
      </c>
      <c r="K50" s="11" t="s">
        <v>47</v>
      </c>
      <c r="L50" s="8"/>
      <c r="M50" s="12"/>
      <c r="N50" s="9" t="s">
        <v>223</v>
      </c>
      <c r="O50" s="9" t="s">
        <v>224</v>
      </c>
      <c r="P50" s="13"/>
      <c r="Q50" s="14"/>
    </row>
    <row r="51" customFormat="false" ht="15" hidden="false" customHeight="false" outlineLevel="0" collapsed="false">
      <c r="A51" s="8" t="s">
        <v>30</v>
      </c>
      <c r="B51" s="8" t="s">
        <v>69</v>
      </c>
      <c r="C51" s="8" t="s">
        <v>55</v>
      </c>
      <c r="D51" s="9" t="s">
        <v>225</v>
      </c>
      <c r="E51" s="8" t="s">
        <v>221</v>
      </c>
      <c r="F51" s="8" t="s">
        <v>217</v>
      </c>
      <c r="G51" s="8" t="s">
        <v>218</v>
      </c>
      <c r="H51" s="8"/>
      <c r="I51" s="10" t="s">
        <v>23</v>
      </c>
      <c r="J51" s="8" t="s">
        <v>226</v>
      </c>
      <c r="K51" s="11" t="s">
        <v>47</v>
      </c>
      <c r="L51" s="8"/>
      <c r="M51" s="12"/>
      <c r="N51" s="9" t="s">
        <v>73</v>
      </c>
      <c r="O51" s="9"/>
      <c r="P51" s="13"/>
      <c r="Q51" s="14"/>
    </row>
    <row r="52" customFormat="false" ht="15" hidden="false" customHeight="false" outlineLevel="0" collapsed="false">
      <c r="A52" s="8" t="s">
        <v>30</v>
      </c>
      <c r="B52" s="8" t="s">
        <v>74</v>
      </c>
      <c r="C52" s="8" t="s">
        <v>55</v>
      </c>
      <c r="D52" s="9" t="s">
        <v>227</v>
      </c>
      <c r="E52" s="8" t="s">
        <v>221</v>
      </c>
      <c r="F52" s="8" t="s">
        <v>217</v>
      </c>
      <c r="G52" s="8" t="s">
        <v>218</v>
      </c>
      <c r="H52" s="8"/>
      <c r="I52" s="10" t="s">
        <v>23</v>
      </c>
      <c r="J52" s="8" t="s">
        <v>228</v>
      </c>
      <c r="K52" s="11" t="s">
        <v>47</v>
      </c>
      <c r="L52" s="8"/>
      <c r="M52" s="12"/>
      <c r="N52" s="9" t="s">
        <v>68</v>
      </c>
      <c r="O52" s="9"/>
      <c r="P52" s="13"/>
      <c r="Q52" s="14"/>
    </row>
    <row r="53" customFormat="false" ht="15" hidden="false" customHeight="false" outlineLevel="0" collapsed="false">
      <c r="A53" s="8" t="s">
        <v>30</v>
      </c>
      <c r="B53" s="8" t="s">
        <v>80</v>
      </c>
      <c r="C53" s="8" t="s">
        <v>55</v>
      </c>
      <c r="D53" s="9" t="s">
        <v>229</v>
      </c>
      <c r="E53" s="8" t="s">
        <v>221</v>
      </c>
      <c r="F53" s="8" t="s">
        <v>217</v>
      </c>
      <c r="G53" s="8" t="s">
        <v>218</v>
      </c>
      <c r="H53" s="8"/>
      <c r="I53" s="10" t="s">
        <v>23</v>
      </c>
      <c r="J53" s="8" t="s">
        <v>230</v>
      </c>
      <c r="K53" s="11" t="s">
        <v>47</v>
      </c>
      <c r="L53" s="8"/>
      <c r="M53" s="12"/>
      <c r="N53" s="9" t="s">
        <v>231</v>
      </c>
      <c r="O53" s="9"/>
      <c r="P53" s="13"/>
      <c r="Q53" s="14"/>
    </row>
    <row r="54" customFormat="false" ht="22.35" hidden="false" customHeight="false" outlineLevel="0" collapsed="false">
      <c r="A54" s="8" t="s">
        <v>30</v>
      </c>
      <c r="B54" s="8" t="s">
        <v>85</v>
      </c>
      <c r="C54" s="8" t="s">
        <v>55</v>
      </c>
      <c r="D54" s="9" t="s">
        <v>232</v>
      </c>
      <c r="E54" s="8" t="s">
        <v>216</v>
      </c>
      <c r="F54" s="8" t="s">
        <v>217</v>
      </c>
      <c r="G54" s="8" t="s">
        <v>218</v>
      </c>
      <c r="H54" s="8"/>
      <c r="I54" s="16" t="s">
        <v>26</v>
      </c>
      <c r="J54" s="8" t="s">
        <v>233</v>
      </c>
      <c r="K54" s="11" t="s">
        <v>47</v>
      </c>
      <c r="L54" s="8"/>
      <c r="M54" s="12"/>
      <c r="N54" s="9" t="s">
        <v>84</v>
      </c>
      <c r="O54" s="9"/>
      <c r="P54" s="13"/>
      <c r="Q54" s="14"/>
    </row>
    <row r="55" customFormat="false" ht="15" hidden="false" customHeight="false" outlineLevel="0" collapsed="false">
      <c r="A55" s="8" t="s">
        <v>30</v>
      </c>
      <c r="B55" s="8" t="s">
        <v>54</v>
      </c>
      <c r="C55" s="8" t="s">
        <v>90</v>
      </c>
      <c r="D55" s="9" t="s">
        <v>234</v>
      </c>
      <c r="E55" s="8" t="s">
        <v>216</v>
      </c>
      <c r="F55" s="8" t="s">
        <v>217</v>
      </c>
      <c r="G55" s="8" t="s">
        <v>218</v>
      </c>
      <c r="H55" s="8"/>
      <c r="I55" s="10" t="s">
        <v>23</v>
      </c>
      <c r="J55" s="8" t="s">
        <v>235</v>
      </c>
      <c r="K55" s="11" t="s">
        <v>47</v>
      </c>
      <c r="L55" s="8"/>
      <c r="M55" s="12"/>
      <c r="N55" s="9" t="s">
        <v>73</v>
      </c>
      <c r="O55" s="9"/>
      <c r="P55" s="13"/>
      <c r="Q55" s="14"/>
    </row>
    <row r="56" customFormat="false" ht="15" hidden="false" customHeight="false" outlineLevel="0" collapsed="false">
      <c r="A56" s="8" t="s">
        <v>30</v>
      </c>
      <c r="B56" s="8" t="s">
        <v>63</v>
      </c>
      <c r="C56" s="8" t="s">
        <v>90</v>
      </c>
      <c r="D56" s="9" t="s">
        <v>236</v>
      </c>
      <c r="E56" s="8" t="s">
        <v>216</v>
      </c>
      <c r="F56" s="8" t="s">
        <v>217</v>
      </c>
      <c r="G56" s="8" t="s">
        <v>218</v>
      </c>
      <c r="H56" s="8"/>
      <c r="I56" s="10" t="s">
        <v>23</v>
      </c>
      <c r="J56" s="8" t="s">
        <v>237</v>
      </c>
      <c r="K56" s="11" t="s">
        <v>47</v>
      </c>
      <c r="L56" s="8"/>
      <c r="M56" s="12"/>
      <c r="N56" s="9" t="s">
        <v>238</v>
      </c>
      <c r="O56" s="9"/>
      <c r="P56" s="13"/>
      <c r="Q56" s="14"/>
    </row>
    <row r="57" customFormat="false" ht="15" hidden="false" customHeight="false" outlineLevel="0" collapsed="false">
      <c r="A57" s="8" t="s">
        <v>30</v>
      </c>
      <c r="B57" s="8" t="s">
        <v>69</v>
      </c>
      <c r="C57" s="8" t="s">
        <v>90</v>
      </c>
      <c r="D57" s="9" t="s">
        <v>239</v>
      </c>
      <c r="E57" s="8" t="s">
        <v>221</v>
      </c>
      <c r="F57" s="8" t="s">
        <v>217</v>
      </c>
      <c r="G57" s="8" t="s">
        <v>218</v>
      </c>
      <c r="H57" s="8"/>
      <c r="I57" s="10" t="s">
        <v>23</v>
      </c>
      <c r="J57" s="8" t="s">
        <v>240</v>
      </c>
      <c r="K57" s="11" t="s">
        <v>47</v>
      </c>
      <c r="L57" s="8"/>
      <c r="M57" s="12"/>
      <c r="N57" s="9" t="s">
        <v>73</v>
      </c>
      <c r="O57" s="9"/>
      <c r="P57" s="13"/>
      <c r="Q57" s="14"/>
    </row>
    <row r="58" customFormat="false" ht="15" hidden="false" customHeight="false" outlineLevel="0" collapsed="false">
      <c r="A58" s="8" t="s">
        <v>30</v>
      </c>
      <c r="B58" s="8" t="s">
        <v>74</v>
      </c>
      <c r="C58" s="8" t="s">
        <v>90</v>
      </c>
      <c r="D58" s="9" t="s">
        <v>241</v>
      </c>
      <c r="E58" s="8" t="s">
        <v>221</v>
      </c>
      <c r="F58" s="8" t="s">
        <v>217</v>
      </c>
      <c r="G58" s="8" t="s">
        <v>218</v>
      </c>
      <c r="H58" s="8"/>
      <c r="I58" s="10" t="s">
        <v>23</v>
      </c>
      <c r="J58" s="8" t="s">
        <v>242</v>
      </c>
      <c r="K58" s="11" t="s">
        <v>47</v>
      </c>
      <c r="L58" s="8"/>
      <c r="M58" s="12"/>
      <c r="N58" s="9" t="s">
        <v>73</v>
      </c>
      <c r="O58" s="9"/>
      <c r="P58" s="13"/>
      <c r="Q58" s="14"/>
    </row>
    <row r="59" customFormat="false" ht="15" hidden="false" customHeight="false" outlineLevel="0" collapsed="false">
      <c r="A59" s="8" t="s">
        <v>30</v>
      </c>
      <c r="B59" s="8" t="s">
        <v>80</v>
      </c>
      <c r="C59" s="8" t="s">
        <v>90</v>
      </c>
      <c r="D59" s="9" t="s">
        <v>243</v>
      </c>
      <c r="E59" s="8" t="s">
        <v>221</v>
      </c>
      <c r="F59" s="8" t="s">
        <v>217</v>
      </c>
      <c r="G59" s="8" t="s">
        <v>218</v>
      </c>
      <c r="H59" s="8"/>
      <c r="I59" s="10" t="s">
        <v>23</v>
      </c>
      <c r="J59" s="8" t="s">
        <v>244</v>
      </c>
      <c r="K59" s="11" t="s">
        <v>47</v>
      </c>
      <c r="L59" s="8"/>
      <c r="M59" s="12"/>
      <c r="N59" s="9" t="s">
        <v>73</v>
      </c>
      <c r="O59" s="9"/>
      <c r="P59" s="13"/>
      <c r="Q59" s="14"/>
    </row>
    <row r="60" customFormat="false" ht="22.35" hidden="false" customHeight="false" outlineLevel="0" collapsed="false">
      <c r="A60" s="8" t="s">
        <v>30</v>
      </c>
      <c r="B60" s="8" t="s">
        <v>85</v>
      </c>
      <c r="C60" s="8" t="s">
        <v>90</v>
      </c>
      <c r="D60" s="9" t="s">
        <v>245</v>
      </c>
      <c r="E60" s="8" t="s">
        <v>221</v>
      </c>
      <c r="F60" s="8" t="s">
        <v>217</v>
      </c>
      <c r="G60" s="8" t="s">
        <v>218</v>
      </c>
      <c r="H60" s="8"/>
      <c r="I60" s="16" t="s">
        <v>26</v>
      </c>
      <c r="J60" s="8" t="s">
        <v>246</v>
      </c>
      <c r="K60" s="11" t="s">
        <v>47</v>
      </c>
      <c r="L60" s="8"/>
      <c r="M60" s="12"/>
      <c r="N60" s="9" t="s">
        <v>84</v>
      </c>
      <c r="O60" s="9"/>
      <c r="P60" s="13"/>
      <c r="Q60" s="14"/>
    </row>
    <row r="61" customFormat="false" ht="15" hidden="false" customHeight="false" outlineLevel="0" collapsed="false">
      <c r="A61" s="8" t="s">
        <v>30</v>
      </c>
      <c r="B61" s="8" t="s">
        <v>54</v>
      </c>
      <c r="C61" s="8" t="s">
        <v>111</v>
      </c>
      <c r="D61" s="9" t="s">
        <v>247</v>
      </c>
      <c r="E61" s="8" t="s">
        <v>216</v>
      </c>
      <c r="F61" s="8" t="s">
        <v>217</v>
      </c>
      <c r="G61" s="8" t="s">
        <v>218</v>
      </c>
      <c r="H61" s="8"/>
      <c r="I61" s="17" t="s">
        <v>24</v>
      </c>
      <c r="J61" s="8" t="s">
        <v>248</v>
      </c>
      <c r="K61" s="11" t="s">
        <v>47</v>
      </c>
      <c r="L61" s="8" t="s">
        <v>249</v>
      </c>
      <c r="M61" s="12" t="n">
        <v>1578</v>
      </c>
      <c r="N61" s="9" t="s">
        <v>105</v>
      </c>
      <c r="O61" s="9"/>
      <c r="P61" s="13"/>
      <c r="Q61" s="14"/>
    </row>
    <row r="62" customFormat="false" ht="15" hidden="false" customHeight="false" outlineLevel="0" collapsed="false">
      <c r="A62" s="8" t="s">
        <v>30</v>
      </c>
      <c r="B62" s="8" t="s">
        <v>63</v>
      </c>
      <c r="C62" s="8" t="s">
        <v>111</v>
      </c>
      <c r="D62" s="9" t="s">
        <v>250</v>
      </c>
      <c r="E62" s="8" t="s">
        <v>216</v>
      </c>
      <c r="F62" s="8" t="s">
        <v>217</v>
      </c>
      <c r="G62" s="8" t="s">
        <v>218</v>
      </c>
      <c r="H62" s="8"/>
      <c r="I62" s="10" t="s">
        <v>23</v>
      </c>
      <c r="J62" s="8" t="s">
        <v>251</v>
      </c>
      <c r="K62" s="11" t="s">
        <v>47</v>
      </c>
      <c r="L62" s="8"/>
      <c r="M62" s="12"/>
      <c r="N62" s="9" t="s">
        <v>252</v>
      </c>
      <c r="O62" s="9"/>
      <c r="P62" s="13"/>
      <c r="Q62" s="14"/>
    </row>
    <row r="63" customFormat="false" ht="15" hidden="false" customHeight="false" outlineLevel="0" collapsed="false">
      <c r="A63" s="8" t="s">
        <v>30</v>
      </c>
      <c r="B63" s="8" t="s">
        <v>69</v>
      </c>
      <c r="C63" s="8" t="s">
        <v>111</v>
      </c>
      <c r="D63" s="9" t="s">
        <v>253</v>
      </c>
      <c r="E63" s="8" t="s">
        <v>221</v>
      </c>
      <c r="F63" s="8" t="s">
        <v>217</v>
      </c>
      <c r="G63" s="8" t="s">
        <v>218</v>
      </c>
      <c r="H63" s="8"/>
      <c r="I63" s="10" t="s">
        <v>23</v>
      </c>
      <c r="J63" s="8" t="s">
        <v>254</v>
      </c>
      <c r="K63" s="11" t="s">
        <v>47</v>
      </c>
      <c r="L63" s="8"/>
      <c r="M63" s="12"/>
      <c r="N63" s="9" t="s">
        <v>73</v>
      </c>
      <c r="O63" s="9"/>
      <c r="P63" s="13"/>
      <c r="Q63" s="14"/>
    </row>
    <row r="64" customFormat="false" ht="22.35" hidden="false" customHeight="false" outlineLevel="0" collapsed="false">
      <c r="A64" s="8" t="s">
        <v>30</v>
      </c>
      <c r="B64" s="8" t="s">
        <v>74</v>
      </c>
      <c r="C64" s="8" t="s">
        <v>111</v>
      </c>
      <c r="D64" s="9" t="s">
        <v>255</v>
      </c>
      <c r="E64" s="8" t="s">
        <v>221</v>
      </c>
      <c r="F64" s="8" t="s">
        <v>217</v>
      </c>
      <c r="G64" s="8" t="s">
        <v>218</v>
      </c>
      <c r="H64" s="8"/>
      <c r="I64" s="16" t="s">
        <v>26</v>
      </c>
      <c r="J64" s="8" t="s">
        <v>256</v>
      </c>
      <c r="K64" s="11" t="s">
        <v>47</v>
      </c>
      <c r="L64" s="8"/>
      <c r="M64" s="12"/>
      <c r="N64" s="9" t="s">
        <v>84</v>
      </c>
      <c r="O64" s="9"/>
      <c r="P64" s="13"/>
      <c r="Q64" s="14"/>
    </row>
    <row r="65" customFormat="false" ht="15" hidden="false" customHeight="false" outlineLevel="0" collapsed="false">
      <c r="A65" s="8" t="s">
        <v>30</v>
      </c>
      <c r="B65" s="8" t="s">
        <v>80</v>
      </c>
      <c r="C65" s="8" t="s">
        <v>111</v>
      </c>
      <c r="D65" s="9" t="s">
        <v>257</v>
      </c>
      <c r="E65" s="8" t="s">
        <v>216</v>
      </c>
      <c r="F65" s="8" t="s">
        <v>217</v>
      </c>
      <c r="G65" s="8" t="s">
        <v>218</v>
      </c>
      <c r="H65" s="8"/>
      <c r="I65" s="10" t="s">
        <v>23</v>
      </c>
      <c r="J65" s="8" t="s">
        <v>258</v>
      </c>
      <c r="K65" s="11" t="s">
        <v>47</v>
      </c>
      <c r="L65" s="8"/>
      <c r="M65" s="12"/>
      <c r="N65" s="9" t="s">
        <v>259</v>
      </c>
      <c r="O65" s="9"/>
      <c r="P65" s="13"/>
      <c r="Q65" s="14"/>
    </row>
    <row r="66" customFormat="false" ht="22.35" hidden="false" customHeight="false" outlineLevel="0" collapsed="false">
      <c r="A66" s="8" t="s">
        <v>30</v>
      </c>
      <c r="B66" s="8" t="s">
        <v>85</v>
      </c>
      <c r="C66" s="8" t="s">
        <v>111</v>
      </c>
      <c r="D66" s="9" t="s">
        <v>260</v>
      </c>
      <c r="E66" s="8" t="s">
        <v>221</v>
      </c>
      <c r="F66" s="8" t="s">
        <v>217</v>
      </c>
      <c r="G66" s="8" t="s">
        <v>218</v>
      </c>
      <c r="H66" s="8"/>
      <c r="I66" s="16" t="s">
        <v>26</v>
      </c>
      <c r="J66" s="8" t="s">
        <v>261</v>
      </c>
      <c r="K66" s="11" t="s">
        <v>47</v>
      </c>
      <c r="L66" s="8"/>
      <c r="M66" s="12"/>
      <c r="N66" s="9" t="s">
        <v>84</v>
      </c>
      <c r="O66" s="9"/>
      <c r="P66" s="13"/>
      <c r="Q66" s="14"/>
    </row>
    <row r="67" customFormat="false" ht="15" hidden="false" customHeight="false" outlineLevel="0" collapsed="false">
      <c r="A67" s="8" t="s">
        <v>30</v>
      </c>
      <c r="B67" s="8" t="s">
        <v>54</v>
      </c>
      <c r="C67" s="8" t="s">
        <v>127</v>
      </c>
      <c r="D67" s="9" t="s">
        <v>262</v>
      </c>
      <c r="E67" s="8" t="s">
        <v>216</v>
      </c>
      <c r="F67" s="8" t="s">
        <v>217</v>
      </c>
      <c r="G67" s="8" t="s">
        <v>218</v>
      </c>
      <c r="H67" s="8"/>
      <c r="I67" s="10" t="s">
        <v>23</v>
      </c>
      <c r="J67" s="8" t="s">
        <v>263</v>
      </c>
      <c r="K67" s="11" t="s">
        <v>47</v>
      </c>
      <c r="L67" s="8"/>
      <c r="M67" s="12"/>
      <c r="N67" s="9" t="s">
        <v>264</v>
      </c>
      <c r="O67" s="9"/>
      <c r="P67" s="13"/>
      <c r="Q67" s="14"/>
    </row>
    <row r="68" customFormat="false" ht="22.35" hidden="false" customHeight="false" outlineLevel="0" collapsed="false">
      <c r="A68" s="8" t="s">
        <v>30</v>
      </c>
      <c r="B68" s="8" t="s">
        <v>63</v>
      </c>
      <c r="C68" s="8" t="s">
        <v>127</v>
      </c>
      <c r="D68" s="9" t="s">
        <v>265</v>
      </c>
      <c r="E68" s="8" t="s">
        <v>216</v>
      </c>
      <c r="F68" s="8" t="s">
        <v>217</v>
      </c>
      <c r="G68" s="8" t="s">
        <v>218</v>
      </c>
      <c r="H68" s="8"/>
      <c r="I68" s="15" t="s">
        <v>25</v>
      </c>
      <c r="J68" s="8" t="s">
        <v>266</v>
      </c>
      <c r="K68" s="11" t="s">
        <v>47</v>
      </c>
      <c r="L68" s="8"/>
      <c r="M68" s="12"/>
      <c r="N68" s="9" t="s">
        <v>267</v>
      </c>
      <c r="O68" s="9"/>
      <c r="P68" s="13"/>
      <c r="Q68" s="14"/>
    </row>
    <row r="69" customFormat="false" ht="15" hidden="false" customHeight="false" outlineLevel="0" collapsed="false">
      <c r="A69" s="8" t="s">
        <v>30</v>
      </c>
      <c r="B69" s="8" t="s">
        <v>69</v>
      </c>
      <c r="C69" s="8" t="s">
        <v>127</v>
      </c>
      <c r="D69" s="9" t="s">
        <v>268</v>
      </c>
      <c r="E69" s="8" t="s">
        <v>221</v>
      </c>
      <c r="F69" s="8" t="s">
        <v>217</v>
      </c>
      <c r="G69" s="8" t="s">
        <v>218</v>
      </c>
      <c r="H69" s="8"/>
      <c r="I69" s="10" t="s">
        <v>23</v>
      </c>
      <c r="J69" s="8" t="s">
        <v>269</v>
      </c>
      <c r="K69" s="11" t="s">
        <v>47</v>
      </c>
      <c r="L69" s="8"/>
      <c r="M69" s="12"/>
      <c r="N69" s="9" t="s">
        <v>73</v>
      </c>
      <c r="O69" s="9"/>
      <c r="P69" s="13"/>
      <c r="Q69" s="14"/>
    </row>
    <row r="70" customFormat="false" ht="15" hidden="false" customHeight="false" outlineLevel="0" collapsed="false">
      <c r="A70" s="8" t="s">
        <v>30</v>
      </c>
      <c r="B70" s="8" t="s">
        <v>74</v>
      </c>
      <c r="C70" s="8" t="s">
        <v>127</v>
      </c>
      <c r="D70" s="9" t="s">
        <v>270</v>
      </c>
      <c r="E70" s="8" t="s">
        <v>221</v>
      </c>
      <c r="F70" s="8" t="s">
        <v>217</v>
      </c>
      <c r="G70" s="8" t="s">
        <v>218</v>
      </c>
      <c r="H70" s="8"/>
      <c r="I70" s="10" t="s">
        <v>23</v>
      </c>
      <c r="J70" s="8" t="s">
        <v>271</v>
      </c>
      <c r="K70" s="11" t="s">
        <v>47</v>
      </c>
      <c r="L70" s="8"/>
      <c r="M70" s="12"/>
      <c r="N70" s="9" t="s">
        <v>272</v>
      </c>
      <c r="O70" s="9"/>
      <c r="P70" s="13"/>
      <c r="Q70" s="14"/>
    </row>
    <row r="71" customFormat="false" ht="22.35" hidden="false" customHeight="false" outlineLevel="0" collapsed="false">
      <c r="A71" s="8" t="s">
        <v>30</v>
      </c>
      <c r="B71" s="8" t="s">
        <v>80</v>
      </c>
      <c r="C71" s="8" t="s">
        <v>127</v>
      </c>
      <c r="D71" s="9" t="s">
        <v>273</v>
      </c>
      <c r="E71" s="8" t="s">
        <v>216</v>
      </c>
      <c r="F71" s="8" t="s">
        <v>217</v>
      </c>
      <c r="G71" s="8" t="s">
        <v>218</v>
      </c>
      <c r="H71" s="8"/>
      <c r="I71" s="16" t="s">
        <v>26</v>
      </c>
      <c r="J71" s="8" t="s">
        <v>274</v>
      </c>
      <c r="K71" s="11" t="s">
        <v>47</v>
      </c>
      <c r="L71" s="8"/>
      <c r="M71" s="12"/>
      <c r="N71" s="9" t="s">
        <v>84</v>
      </c>
      <c r="O71" s="9"/>
      <c r="P71" s="13"/>
      <c r="Q71" s="14"/>
    </row>
    <row r="72" customFormat="false" ht="15" hidden="false" customHeight="false" outlineLevel="0" collapsed="false">
      <c r="A72" s="8" t="s">
        <v>30</v>
      </c>
      <c r="B72" s="8" t="s">
        <v>85</v>
      </c>
      <c r="C72" s="8" t="s">
        <v>127</v>
      </c>
      <c r="D72" s="9" t="s">
        <v>275</v>
      </c>
      <c r="E72" s="8" t="s">
        <v>221</v>
      </c>
      <c r="F72" s="8" t="s">
        <v>217</v>
      </c>
      <c r="G72" s="8" t="s">
        <v>218</v>
      </c>
      <c r="H72" s="8"/>
      <c r="I72" s="10" t="s">
        <v>23</v>
      </c>
      <c r="J72" s="8" t="s">
        <v>276</v>
      </c>
      <c r="K72" s="11" t="s">
        <v>47</v>
      </c>
      <c r="L72" s="8"/>
      <c r="M72" s="12"/>
      <c r="N72" s="9" t="s">
        <v>277</v>
      </c>
      <c r="O72" s="9"/>
      <c r="P72" s="13"/>
      <c r="Q72" s="14"/>
    </row>
    <row r="73" customFormat="false" ht="15" hidden="false" customHeight="false" outlineLevel="0" collapsed="false">
      <c r="A73" s="8" t="s">
        <v>31</v>
      </c>
      <c r="B73" s="8" t="s">
        <v>54</v>
      </c>
      <c r="C73" s="8" t="s">
        <v>55</v>
      </c>
      <c r="D73" s="9" t="s">
        <v>278</v>
      </c>
      <c r="E73" s="8" t="s">
        <v>279</v>
      </c>
      <c r="F73" s="8" t="s">
        <v>280</v>
      </c>
      <c r="G73" s="8" t="s">
        <v>281</v>
      </c>
      <c r="H73" s="8" t="s">
        <v>60</v>
      </c>
      <c r="I73" s="10" t="s">
        <v>23</v>
      </c>
      <c r="J73" s="8" t="s">
        <v>282</v>
      </c>
      <c r="K73" s="11" t="s">
        <v>47</v>
      </c>
      <c r="L73" s="8"/>
      <c r="M73" s="12"/>
      <c r="N73" s="9" t="s">
        <v>283</v>
      </c>
      <c r="O73" s="9"/>
      <c r="P73" s="13"/>
      <c r="Q73" s="14"/>
    </row>
    <row r="74" customFormat="false" ht="15" hidden="false" customHeight="false" outlineLevel="0" collapsed="false">
      <c r="A74" s="8" t="s">
        <v>31</v>
      </c>
      <c r="B74" s="8" t="s">
        <v>63</v>
      </c>
      <c r="C74" s="8" t="s">
        <v>55</v>
      </c>
      <c r="D74" s="9" t="s">
        <v>284</v>
      </c>
      <c r="E74" s="8" t="s">
        <v>279</v>
      </c>
      <c r="F74" s="8" t="s">
        <v>280</v>
      </c>
      <c r="G74" s="8" t="s">
        <v>285</v>
      </c>
      <c r="H74" s="8" t="s">
        <v>60</v>
      </c>
      <c r="I74" s="10" t="s">
        <v>23</v>
      </c>
      <c r="J74" s="8" t="s">
        <v>286</v>
      </c>
      <c r="K74" s="11" t="s">
        <v>47</v>
      </c>
      <c r="L74" s="8"/>
      <c r="M74" s="12"/>
      <c r="N74" s="9" t="s">
        <v>287</v>
      </c>
      <c r="O74" s="9"/>
      <c r="P74" s="13"/>
      <c r="Q74" s="14"/>
    </row>
    <row r="75" customFormat="false" ht="22.35" hidden="false" customHeight="false" outlineLevel="0" collapsed="false">
      <c r="A75" s="8" t="s">
        <v>31</v>
      </c>
      <c r="B75" s="8" t="s">
        <v>69</v>
      </c>
      <c r="C75" s="8" t="s">
        <v>55</v>
      </c>
      <c r="D75" s="9" t="s">
        <v>288</v>
      </c>
      <c r="E75" s="8" t="s">
        <v>279</v>
      </c>
      <c r="F75" s="8" t="s">
        <v>280</v>
      </c>
      <c r="G75" s="8" t="s">
        <v>289</v>
      </c>
      <c r="H75" s="8" t="s">
        <v>60</v>
      </c>
      <c r="I75" s="15" t="s">
        <v>25</v>
      </c>
      <c r="J75" s="8" t="s">
        <v>290</v>
      </c>
      <c r="K75" s="11" t="s">
        <v>47</v>
      </c>
      <c r="L75" s="8"/>
      <c r="M75" s="12"/>
      <c r="N75" s="9" t="s">
        <v>291</v>
      </c>
      <c r="O75" s="9"/>
      <c r="P75" s="13"/>
      <c r="Q75" s="14"/>
    </row>
    <row r="76" customFormat="false" ht="15" hidden="false" customHeight="false" outlineLevel="0" collapsed="false">
      <c r="A76" s="8" t="s">
        <v>31</v>
      </c>
      <c r="B76" s="8" t="s">
        <v>74</v>
      </c>
      <c r="C76" s="8" t="s">
        <v>55</v>
      </c>
      <c r="D76" s="9" t="s">
        <v>292</v>
      </c>
      <c r="E76" s="8" t="s">
        <v>279</v>
      </c>
      <c r="F76" s="8" t="s">
        <v>280</v>
      </c>
      <c r="G76" s="8" t="s">
        <v>293</v>
      </c>
      <c r="H76" s="8" t="s">
        <v>60</v>
      </c>
      <c r="I76" s="10" t="s">
        <v>23</v>
      </c>
      <c r="J76" s="8" t="s">
        <v>294</v>
      </c>
      <c r="K76" s="11" t="s">
        <v>47</v>
      </c>
      <c r="L76" s="8"/>
      <c r="M76" s="12"/>
      <c r="N76" s="9" t="s">
        <v>68</v>
      </c>
      <c r="O76" s="9"/>
      <c r="P76" s="13"/>
      <c r="Q76" s="14"/>
    </row>
    <row r="77" customFormat="false" ht="15" hidden="false" customHeight="false" outlineLevel="0" collapsed="false">
      <c r="A77" s="8" t="s">
        <v>31</v>
      </c>
      <c r="B77" s="8" t="s">
        <v>80</v>
      </c>
      <c r="C77" s="8" t="s">
        <v>55</v>
      </c>
      <c r="D77" s="9" t="s">
        <v>295</v>
      </c>
      <c r="E77" s="8" t="s">
        <v>279</v>
      </c>
      <c r="F77" s="8" t="s">
        <v>280</v>
      </c>
      <c r="G77" s="8" t="s">
        <v>296</v>
      </c>
      <c r="H77" s="8" t="s">
        <v>297</v>
      </c>
      <c r="I77" s="10" t="s">
        <v>23</v>
      </c>
      <c r="J77" s="8" t="s">
        <v>298</v>
      </c>
      <c r="K77" s="11" t="s">
        <v>47</v>
      </c>
      <c r="L77" s="8"/>
      <c r="M77" s="12"/>
      <c r="N77" s="9" t="s">
        <v>299</v>
      </c>
      <c r="O77" s="9"/>
      <c r="P77" s="13"/>
      <c r="Q77" s="14"/>
    </row>
    <row r="78" customFormat="false" ht="15" hidden="false" customHeight="false" outlineLevel="0" collapsed="false">
      <c r="A78" s="8" t="s">
        <v>31</v>
      </c>
      <c r="B78" s="8" t="s">
        <v>85</v>
      </c>
      <c r="C78" s="8" t="s">
        <v>55</v>
      </c>
      <c r="D78" s="9" t="s">
        <v>278</v>
      </c>
      <c r="E78" s="8" t="s">
        <v>279</v>
      </c>
      <c r="F78" s="8" t="s">
        <v>280</v>
      </c>
      <c r="G78" s="8" t="s">
        <v>300</v>
      </c>
      <c r="H78" s="8" t="s">
        <v>300</v>
      </c>
      <c r="I78" s="10" t="s">
        <v>23</v>
      </c>
      <c r="J78" s="8" t="s">
        <v>282</v>
      </c>
      <c r="K78" s="11" t="s">
        <v>47</v>
      </c>
      <c r="L78" s="8"/>
      <c r="M78" s="12"/>
      <c r="N78" s="9" t="s">
        <v>283</v>
      </c>
      <c r="O78" s="9"/>
      <c r="P78" s="13"/>
      <c r="Q78" s="14"/>
    </row>
    <row r="79" customFormat="false" ht="15" hidden="false" customHeight="false" outlineLevel="0" collapsed="false">
      <c r="A79" s="8" t="s">
        <v>31</v>
      </c>
      <c r="B79" s="8" t="s">
        <v>54</v>
      </c>
      <c r="C79" s="8" t="s">
        <v>90</v>
      </c>
      <c r="D79" s="9" t="s">
        <v>301</v>
      </c>
      <c r="E79" s="8" t="s">
        <v>279</v>
      </c>
      <c r="F79" s="8" t="s">
        <v>280</v>
      </c>
      <c r="G79" s="8" t="s">
        <v>281</v>
      </c>
      <c r="H79" s="8" t="s">
        <v>60</v>
      </c>
      <c r="I79" s="10" t="s">
        <v>23</v>
      </c>
      <c r="J79" s="8" t="s">
        <v>302</v>
      </c>
      <c r="K79" s="11" t="s">
        <v>47</v>
      </c>
      <c r="L79" s="8"/>
      <c r="M79" s="12"/>
      <c r="N79" s="9" t="s">
        <v>303</v>
      </c>
      <c r="O79" s="9"/>
      <c r="P79" s="13"/>
      <c r="Q79" s="14"/>
    </row>
    <row r="80" customFormat="false" ht="15" hidden="false" customHeight="false" outlineLevel="0" collapsed="false">
      <c r="A80" s="8" t="s">
        <v>31</v>
      </c>
      <c r="B80" s="8" t="s">
        <v>63</v>
      </c>
      <c r="C80" s="8" t="s">
        <v>90</v>
      </c>
      <c r="D80" s="9" t="s">
        <v>304</v>
      </c>
      <c r="E80" s="8" t="s">
        <v>279</v>
      </c>
      <c r="F80" s="8" t="s">
        <v>280</v>
      </c>
      <c r="G80" s="8" t="s">
        <v>285</v>
      </c>
      <c r="H80" s="8" t="s">
        <v>60</v>
      </c>
      <c r="I80" s="10" t="s">
        <v>23</v>
      </c>
      <c r="J80" s="8" t="s">
        <v>305</v>
      </c>
      <c r="K80" s="11" t="s">
        <v>47</v>
      </c>
      <c r="L80" s="8"/>
      <c r="M80" s="12"/>
      <c r="N80" s="9" t="s">
        <v>306</v>
      </c>
      <c r="O80" s="9"/>
      <c r="P80" s="13"/>
      <c r="Q80" s="14"/>
    </row>
    <row r="81" customFormat="false" ht="22.35" hidden="false" customHeight="false" outlineLevel="0" collapsed="false">
      <c r="A81" s="8" t="s">
        <v>31</v>
      </c>
      <c r="B81" s="8" t="s">
        <v>69</v>
      </c>
      <c r="C81" s="8" t="s">
        <v>90</v>
      </c>
      <c r="D81" s="9" t="s">
        <v>307</v>
      </c>
      <c r="E81" s="8" t="s">
        <v>279</v>
      </c>
      <c r="F81" s="8" t="s">
        <v>280</v>
      </c>
      <c r="G81" s="8" t="s">
        <v>289</v>
      </c>
      <c r="H81" s="8" t="s">
        <v>60</v>
      </c>
      <c r="I81" s="15" t="s">
        <v>25</v>
      </c>
      <c r="J81" s="8" t="s">
        <v>308</v>
      </c>
      <c r="K81" s="11" t="s">
        <v>47</v>
      </c>
      <c r="L81" s="8"/>
      <c r="M81" s="12"/>
      <c r="N81" s="9" t="s">
        <v>309</v>
      </c>
      <c r="O81" s="9" t="s">
        <v>310</v>
      </c>
      <c r="P81" s="13"/>
      <c r="Q81" s="14"/>
    </row>
    <row r="82" customFormat="false" ht="22.35" hidden="false" customHeight="false" outlineLevel="0" collapsed="false">
      <c r="A82" s="8" t="s">
        <v>31</v>
      </c>
      <c r="B82" s="8" t="s">
        <v>74</v>
      </c>
      <c r="C82" s="8" t="s">
        <v>90</v>
      </c>
      <c r="D82" s="9" t="s">
        <v>311</v>
      </c>
      <c r="E82" s="8" t="s">
        <v>279</v>
      </c>
      <c r="F82" s="8" t="s">
        <v>280</v>
      </c>
      <c r="G82" s="8" t="s">
        <v>293</v>
      </c>
      <c r="H82" s="8" t="s">
        <v>60</v>
      </c>
      <c r="I82" s="16" t="s">
        <v>26</v>
      </c>
      <c r="J82" s="8" t="s">
        <v>312</v>
      </c>
      <c r="K82" s="11" t="s">
        <v>47</v>
      </c>
      <c r="L82" s="8"/>
      <c r="M82" s="12"/>
      <c r="N82" s="9" t="s">
        <v>84</v>
      </c>
      <c r="O82" s="9"/>
      <c r="P82" s="13"/>
      <c r="Q82" s="14"/>
    </row>
    <row r="83" customFormat="false" ht="15" hidden="false" customHeight="false" outlineLevel="0" collapsed="false">
      <c r="A83" s="8" t="s">
        <v>31</v>
      </c>
      <c r="B83" s="8" t="s">
        <v>80</v>
      </c>
      <c r="C83" s="8" t="s">
        <v>90</v>
      </c>
      <c r="D83" s="9" t="s">
        <v>313</v>
      </c>
      <c r="E83" s="8" t="s">
        <v>279</v>
      </c>
      <c r="F83" s="8" t="s">
        <v>280</v>
      </c>
      <c r="G83" s="8" t="s">
        <v>296</v>
      </c>
      <c r="H83" s="8" t="s">
        <v>297</v>
      </c>
      <c r="I83" s="10" t="s">
        <v>23</v>
      </c>
      <c r="J83" s="8" t="s">
        <v>314</v>
      </c>
      <c r="K83" s="11" t="s">
        <v>47</v>
      </c>
      <c r="L83" s="8"/>
      <c r="M83" s="12"/>
      <c r="N83" s="9" t="s">
        <v>315</v>
      </c>
      <c r="O83" s="9"/>
      <c r="P83" s="13"/>
      <c r="Q83" s="14"/>
    </row>
    <row r="84" customFormat="false" ht="15" hidden="false" customHeight="false" outlineLevel="0" collapsed="false">
      <c r="A84" s="8" t="s">
        <v>31</v>
      </c>
      <c r="B84" s="8" t="s">
        <v>85</v>
      </c>
      <c r="C84" s="8" t="s">
        <v>90</v>
      </c>
      <c r="D84" s="9" t="s">
        <v>316</v>
      </c>
      <c r="E84" s="8" t="s">
        <v>279</v>
      </c>
      <c r="F84" s="8" t="s">
        <v>280</v>
      </c>
      <c r="G84" s="8" t="s">
        <v>300</v>
      </c>
      <c r="H84" s="8" t="s">
        <v>300</v>
      </c>
      <c r="I84" s="10" t="s">
        <v>23</v>
      </c>
      <c r="J84" s="8" t="s">
        <v>305</v>
      </c>
      <c r="K84" s="11" t="s">
        <v>47</v>
      </c>
      <c r="L84" s="8"/>
      <c r="M84" s="12"/>
      <c r="N84" s="9" t="s">
        <v>317</v>
      </c>
      <c r="O84" s="9"/>
      <c r="P84" s="13"/>
      <c r="Q84" s="14"/>
    </row>
    <row r="85" customFormat="false" ht="15" hidden="false" customHeight="false" outlineLevel="0" collapsed="false">
      <c r="A85" s="8" t="s">
        <v>31</v>
      </c>
      <c r="B85" s="8" t="s">
        <v>54</v>
      </c>
      <c r="C85" s="8" t="s">
        <v>111</v>
      </c>
      <c r="D85" s="9" t="s">
        <v>318</v>
      </c>
      <c r="E85" s="8" t="s">
        <v>279</v>
      </c>
      <c r="F85" s="8" t="s">
        <v>280</v>
      </c>
      <c r="G85" s="8" t="s">
        <v>281</v>
      </c>
      <c r="H85" s="8" t="s">
        <v>60</v>
      </c>
      <c r="I85" s="10" t="s">
        <v>23</v>
      </c>
      <c r="J85" s="8" t="s">
        <v>319</v>
      </c>
      <c r="K85" s="11" t="s">
        <v>47</v>
      </c>
      <c r="L85" s="8"/>
      <c r="M85" s="12"/>
      <c r="N85" s="9" t="s">
        <v>320</v>
      </c>
      <c r="O85" s="9"/>
      <c r="P85" s="13"/>
      <c r="Q85" s="14"/>
    </row>
    <row r="86" customFormat="false" ht="15" hidden="false" customHeight="false" outlineLevel="0" collapsed="false">
      <c r="A86" s="8" t="s">
        <v>31</v>
      </c>
      <c r="B86" s="8" t="s">
        <v>63</v>
      </c>
      <c r="C86" s="8" t="s">
        <v>111</v>
      </c>
      <c r="D86" s="9" t="s">
        <v>321</v>
      </c>
      <c r="E86" s="8" t="s">
        <v>279</v>
      </c>
      <c r="F86" s="8" t="s">
        <v>280</v>
      </c>
      <c r="G86" s="8" t="s">
        <v>285</v>
      </c>
      <c r="H86" s="8" t="s">
        <v>60</v>
      </c>
      <c r="I86" s="10" t="s">
        <v>23</v>
      </c>
      <c r="J86" s="8" t="s">
        <v>322</v>
      </c>
      <c r="K86" s="11" t="s">
        <v>47</v>
      </c>
      <c r="L86" s="8"/>
      <c r="M86" s="12"/>
      <c r="N86" s="9" t="s">
        <v>323</v>
      </c>
      <c r="O86" s="9"/>
      <c r="P86" s="13"/>
      <c r="Q86" s="14"/>
    </row>
    <row r="87" customFormat="false" ht="15" hidden="false" customHeight="false" outlineLevel="0" collapsed="false">
      <c r="A87" s="8" t="s">
        <v>31</v>
      </c>
      <c r="B87" s="8" t="s">
        <v>69</v>
      </c>
      <c r="C87" s="8" t="s">
        <v>111</v>
      </c>
      <c r="D87" s="9" t="s">
        <v>324</v>
      </c>
      <c r="E87" s="8" t="s">
        <v>279</v>
      </c>
      <c r="F87" s="8" t="s">
        <v>280</v>
      </c>
      <c r="G87" s="8" t="s">
        <v>289</v>
      </c>
      <c r="H87" s="8" t="s">
        <v>60</v>
      </c>
      <c r="I87" s="10" t="s">
        <v>23</v>
      </c>
      <c r="J87" s="8" t="s">
        <v>325</v>
      </c>
      <c r="K87" s="11" t="s">
        <v>47</v>
      </c>
      <c r="L87" s="8"/>
      <c r="M87" s="12"/>
      <c r="N87" s="9" t="s">
        <v>326</v>
      </c>
      <c r="O87" s="9"/>
      <c r="P87" s="13"/>
      <c r="Q87" s="14"/>
    </row>
    <row r="88" customFormat="false" ht="15" hidden="false" customHeight="false" outlineLevel="0" collapsed="false">
      <c r="A88" s="8" t="s">
        <v>31</v>
      </c>
      <c r="B88" s="8" t="s">
        <v>74</v>
      </c>
      <c r="C88" s="8" t="s">
        <v>111</v>
      </c>
      <c r="D88" s="9" t="s">
        <v>327</v>
      </c>
      <c r="E88" s="8" t="s">
        <v>279</v>
      </c>
      <c r="F88" s="8" t="s">
        <v>280</v>
      </c>
      <c r="G88" s="8" t="s">
        <v>293</v>
      </c>
      <c r="H88" s="8" t="s">
        <v>60</v>
      </c>
      <c r="I88" s="10" t="s">
        <v>23</v>
      </c>
      <c r="J88" s="8" t="s">
        <v>328</v>
      </c>
      <c r="K88" s="11" t="s">
        <v>47</v>
      </c>
      <c r="L88" s="8"/>
      <c r="M88" s="12"/>
      <c r="N88" s="9" t="s">
        <v>68</v>
      </c>
      <c r="O88" s="9"/>
      <c r="P88" s="13"/>
      <c r="Q88" s="14"/>
    </row>
    <row r="89" customFormat="false" ht="15" hidden="false" customHeight="false" outlineLevel="0" collapsed="false">
      <c r="A89" s="8" t="s">
        <v>31</v>
      </c>
      <c r="B89" s="8" t="s">
        <v>80</v>
      </c>
      <c r="C89" s="8" t="s">
        <v>111</v>
      </c>
      <c r="D89" s="9" t="s">
        <v>329</v>
      </c>
      <c r="E89" s="8" t="s">
        <v>279</v>
      </c>
      <c r="F89" s="8" t="s">
        <v>280</v>
      </c>
      <c r="G89" s="8" t="s">
        <v>296</v>
      </c>
      <c r="H89" s="8" t="s">
        <v>297</v>
      </c>
      <c r="I89" s="10" t="s">
        <v>23</v>
      </c>
      <c r="J89" s="8" t="s">
        <v>330</v>
      </c>
      <c r="K89" s="11" t="s">
        <v>47</v>
      </c>
      <c r="L89" s="8"/>
      <c r="M89" s="12"/>
      <c r="N89" s="9" t="s">
        <v>68</v>
      </c>
      <c r="O89" s="9"/>
      <c r="P89" s="13"/>
      <c r="Q89" s="14"/>
    </row>
    <row r="90" customFormat="false" ht="22.35" hidden="false" customHeight="false" outlineLevel="0" collapsed="false">
      <c r="A90" s="8" t="s">
        <v>31</v>
      </c>
      <c r="B90" s="8" t="s">
        <v>85</v>
      </c>
      <c r="C90" s="8" t="s">
        <v>111</v>
      </c>
      <c r="D90" s="9" t="s">
        <v>331</v>
      </c>
      <c r="E90" s="8" t="s">
        <v>279</v>
      </c>
      <c r="F90" s="8" t="s">
        <v>280</v>
      </c>
      <c r="G90" s="8" t="s">
        <v>300</v>
      </c>
      <c r="H90" s="8" t="s">
        <v>300</v>
      </c>
      <c r="I90" s="16" t="s">
        <v>26</v>
      </c>
      <c r="J90" s="8" t="s">
        <v>332</v>
      </c>
      <c r="K90" s="11" t="s">
        <v>47</v>
      </c>
      <c r="L90" s="8"/>
      <c r="M90" s="12"/>
      <c r="N90" s="9" t="s">
        <v>84</v>
      </c>
      <c r="O90" s="9"/>
      <c r="P90" s="13"/>
      <c r="Q90" s="14"/>
    </row>
    <row r="91" customFormat="false" ht="15" hidden="false" customHeight="false" outlineLevel="0" collapsed="false">
      <c r="A91" s="8" t="s">
        <v>31</v>
      </c>
      <c r="B91" s="8" t="s">
        <v>54</v>
      </c>
      <c r="C91" s="8" t="s">
        <v>127</v>
      </c>
      <c r="D91" s="9" t="s">
        <v>333</v>
      </c>
      <c r="E91" s="8" t="s">
        <v>279</v>
      </c>
      <c r="F91" s="8" t="s">
        <v>280</v>
      </c>
      <c r="G91" s="8" t="s">
        <v>281</v>
      </c>
      <c r="H91" s="8" t="s">
        <v>60</v>
      </c>
      <c r="I91" s="10" t="s">
        <v>23</v>
      </c>
      <c r="J91" s="8" t="s">
        <v>334</v>
      </c>
      <c r="K91" s="11" t="s">
        <v>47</v>
      </c>
      <c r="L91" s="8"/>
      <c r="M91" s="12"/>
      <c r="N91" s="9" t="s">
        <v>335</v>
      </c>
      <c r="O91" s="9"/>
      <c r="P91" s="13"/>
      <c r="Q91" s="14"/>
    </row>
    <row r="92" customFormat="false" ht="15" hidden="false" customHeight="false" outlineLevel="0" collapsed="false">
      <c r="A92" s="8" t="s">
        <v>31</v>
      </c>
      <c r="B92" s="8" t="s">
        <v>63</v>
      </c>
      <c r="C92" s="8" t="s">
        <v>127</v>
      </c>
      <c r="D92" s="9" t="s">
        <v>336</v>
      </c>
      <c r="E92" s="8" t="s">
        <v>279</v>
      </c>
      <c r="F92" s="8" t="s">
        <v>280</v>
      </c>
      <c r="G92" s="8" t="s">
        <v>285</v>
      </c>
      <c r="H92" s="8" t="s">
        <v>60</v>
      </c>
      <c r="I92" s="10" t="s">
        <v>23</v>
      </c>
      <c r="J92" s="8" t="s">
        <v>337</v>
      </c>
      <c r="K92" s="11" t="s">
        <v>47</v>
      </c>
      <c r="L92" s="8"/>
      <c r="M92" s="12"/>
      <c r="N92" s="9" t="s">
        <v>338</v>
      </c>
      <c r="O92" s="9"/>
      <c r="P92" s="13"/>
      <c r="Q92" s="14"/>
    </row>
    <row r="93" customFormat="false" ht="15" hidden="false" customHeight="false" outlineLevel="0" collapsed="false">
      <c r="A93" s="8" t="s">
        <v>31</v>
      </c>
      <c r="B93" s="8" t="s">
        <v>69</v>
      </c>
      <c r="C93" s="8" t="s">
        <v>127</v>
      </c>
      <c r="D93" s="9" t="s">
        <v>339</v>
      </c>
      <c r="E93" s="8" t="s">
        <v>279</v>
      </c>
      <c r="F93" s="8" t="s">
        <v>280</v>
      </c>
      <c r="G93" s="8" t="s">
        <v>289</v>
      </c>
      <c r="H93" s="8" t="s">
        <v>60</v>
      </c>
      <c r="I93" s="10" t="s">
        <v>23</v>
      </c>
      <c r="J93" s="8" t="s">
        <v>340</v>
      </c>
      <c r="K93" s="11" t="s">
        <v>47</v>
      </c>
      <c r="L93" s="8"/>
      <c r="M93" s="12"/>
      <c r="N93" s="9" t="s">
        <v>341</v>
      </c>
      <c r="O93" s="9"/>
      <c r="P93" s="13"/>
      <c r="Q93" s="14"/>
    </row>
    <row r="94" customFormat="false" ht="15" hidden="false" customHeight="false" outlineLevel="0" collapsed="false">
      <c r="A94" s="8" t="s">
        <v>31</v>
      </c>
      <c r="B94" s="8" t="s">
        <v>74</v>
      </c>
      <c r="C94" s="8" t="s">
        <v>127</v>
      </c>
      <c r="D94" s="9" t="s">
        <v>342</v>
      </c>
      <c r="E94" s="8" t="s">
        <v>279</v>
      </c>
      <c r="F94" s="8" t="s">
        <v>280</v>
      </c>
      <c r="G94" s="8" t="s">
        <v>293</v>
      </c>
      <c r="H94" s="8" t="s">
        <v>60</v>
      </c>
      <c r="I94" s="17" t="s">
        <v>24</v>
      </c>
      <c r="J94" s="8" t="s">
        <v>294</v>
      </c>
      <c r="K94" s="11" t="s">
        <v>47</v>
      </c>
      <c r="L94" s="8" t="s">
        <v>343</v>
      </c>
      <c r="M94" s="12" t="n">
        <v>1659</v>
      </c>
      <c r="N94" s="9" t="s">
        <v>344</v>
      </c>
      <c r="O94" s="9"/>
      <c r="P94" s="13"/>
      <c r="Q94" s="14"/>
    </row>
    <row r="95" customFormat="false" ht="15" hidden="false" customHeight="false" outlineLevel="0" collapsed="false">
      <c r="A95" s="8" t="s">
        <v>31</v>
      </c>
      <c r="B95" s="8" t="s">
        <v>80</v>
      </c>
      <c r="C95" s="8" t="s">
        <v>127</v>
      </c>
      <c r="D95" s="9" t="s">
        <v>327</v>
      </c>
      <c r="E95" s="8" t="s">
        <v>279</v>
      </c>
      <c r="F95" s="8" t="s">
        <v>280</v>
      </c>
      <c r="G95" s="8" t="s">
        <v>296</v>
      </c>
      <c r="H95" s="8" t="s">
        <v>297</v>
      </c>
      <c r="I95" s="10" t="s">
        <v>23</v>
      </c>
      <c r="J95" s="8" t="s">
        <v>328</v>
      </c>
      <c r="K95" s="11" t="s">
        <v>47</v>
      </c>
      <c r="L95" s="8"/>
      <c r="M95" s="12"/>
      <c r="N95" s="9" t="s">
        <v>68</v>
      </c>
      <c r="O95" s="9"/>
      <c r="P95" s="13"/>
      <c r="Q95" s="14"/>
    </row>
    <row r="96" customFormat="false" ht="22.35" hidden="false" customHeight="false" outlineLevel="0" collapsed="false">
      <c r="A96" s="8" t="s">
        <v>31</v>
      </c>
      <c r="B96" s="8" t="s">
        <v>85</v>
      </c>
      <c r="C96" s="8" t="s">
        <v>127</v>
      </c>
      <c r="D96" s="9" t="s">
        <v>345</v>
      </c>
      <c r="E96" s="8" t="s">
        <v>279</v>
      </c>
      <c r="F96" s="8" t="s">
        <v>280</v>
      </c>
      <c r="G96" s="8" t="s">
        <v>300</v>
      </c>
      <c r="H96" s="8" t="s">
        <v>300</v>
      </c>
      <c r="I96" s="15" t="s">
        <v>25</v>
      </c>
      <c r="J96" s="8" t="s">
        <v>346</v>
      </c>
      <c r="K96" s="11" t="s">
        <v>47</v>
      </c>
      <c r="L96" s="8"/>
      <c r="M96" s="12"/>
      <c r="N96" s="9" t="s">
        <v>347</v>
      </c>
      <c r="O96" s="9" t="s">
        <v>348</v>
      </c>
      <c r="P96" s="13"/>
      <c r="Q96" s="14"/>
    </row>
    <row r="97" customFormat="false" ht="15" hidden="false" customHeight="false" outlineLevel="0" collapsed="false">
      <c r="A97" s="8" t="s">
        <v>32</v>
      </c>
      <c r="B97" s="8" t="s">
        <v>54</v>
      </c>
      <c r="C97" s="8" t="s">
        <v>55</v>
      </c>
      <c r="D97" s="9" t="s">
        <v>349</v>
      </c>
      <c r="E97" s="8" t="s">
        <v>350</v>
      </c>
      <c r="F97" s="8" t="s">
        <v>217</v>
      </c>
      <c r="G97" s="8" t="s">
        <v>218</v>
      </c>
      <c r="H97" s="8"/>
      <c r="I97" s="10" t="s">
        <v>23</v>
      </c>
      <c r="J97" s="8" t="s">
        <v>351</v>
      </c>
      <c r="K97" s="11" t="s">
        <v>47</v>
      </c>
      <c r="L97" s="8"/>
      <c r="M97" s="12"/>
      <c r="N97" s="9" t="s">
        <v>352</v>
      </c>
      <c r="O97" s="9"/>
      <c r="P97" s="13"/>
      <c r="Q97" s="14"/>
    </row>
    <row r="98" customFormat="false" ht="15" hidden="false" customHeight="false" outlineLevel="0" collapsed="false">
      <c r="A98" s="8" t="s">
        <v>32</v>
      </c>
      <c r="B98" s="8" t="s">
        <v>63</v>
      </c>
      <c r="C98" s="8" t="s">
        <v>55</v>
      </c>
      <c r="D98" s="9" t="s">
        <v>353</v>
      </c>
      <c r="E98" s="8" t="s">
        <v>350</v>
      </c>
      <c r="F98" s="8" t="s">
        <v>217</v>
      </c>
      <c r="G98" s="8" t="s">
        <v>218</v>
      </c>
      <c r="H98" s="8"/>
      <c r="I98" s="10" t="s">
        <v>23</v>
      </c>
      <c r="J98" s="8" t="s">
        <v>354</v>
      </c>
      <c r="K98" s="11" t="s">
        <v>47</v>
      </c>
      <c r="L98" s="8"/>
      <c r="M98" s="12"/>
      <c r="N98" s="9" t="s">
        <v>73</v>
      </c>
      <c r="O98" s="9"/>
      <c r="P98" s="13"/>
      <c r="Q98" s="14"/>
    </row>
    <row r="99" customFormat="false" ht="15" hidden="false" customHeight="false" outlineLevel="0" collapsed="false">
      <c r="A99" s="8" t="s">
        <v>32</v>
      </c>
      <c r="B99" s="8" t="s">
        <v>69</v>
      </c>
      <c r="C99" s="8" t="s">
        <v>55</v>
      </c>
      <c r="D99" s="9" t="s">
        <v>355</v>
      </c>
      <c r="E99" s="8" t="s">
        <v>350</v>
      </c>
      <c r="F99" s="8" t="s">
        <v>217</v>
      </c>
      <c r="G99" s="8" t="s">
        <v>218</v>
      </c>
      <c r="H99" s="8"/>
      <c r="I99" s="10" t="s">
        <v>23</v>
      </c>
      <c r="J99" s="8" t="s">
        <v>356</v>
      </c>
      <c r="K99" s="11" t="s">
        <v>47</v>
      </c>
      <c r="L99" s="8"/>
      <c r="M99" s="12"/>
      <c r="N99" s="9" t="s">
        <v>357</v>
      </c>
      <c r="O99" s="9"/>
      <c r="P99" s="13"/>
      <c r="Q99" s="14"/>
    </row>
    <row r="100" customFormat="false" ht="15" hidden="false" customHeight="false" outlineLevel="0" collapsed="false">
      <c r="A100" s="8" t="s">
        <v>32</v>
      </c>
      <c r="B100" s="8" t="s">
        <v>74</v>
      </c>
      <c r="C100" s="8" t="s">
        <v>55</v>
      </c>
      <c r="D100" s="9" t="s">
        <v>358</v>
      </c>
      <c r="E100" s="8" t="s">
        <v>350</v>
      </c>
      <c r="F100" s="8" t="s">
        <v>217</v>
      </c>
      <c r="G100" s="8" t="s">
        <v>218</v>
      </c>
      <c r="H100" s="8"/>
      <c r="I100" s="17" t="s">
        <v>24</v>
      </c>
      <c r="J100" s="8" t="s">
        <v>359</v>
      </c>
      <c r="K100" s="11" t="s">
        <v>47</v>
      </c>
      <c r="L100" s="8" t="s">
        <v>360</v>
      </c>
      <c r="M100" s="12" t="n">
        <v>1468</v>
      </c>
      <c r="N100" s="9" t="s">
        <v>105</v>
      </c>
      <c r="O100" s="9"/>
      <c r="P100" s="13"/>
      <c r="Q100" s="14"/>
    </row>
    <row r="101" customFormat="false" ht="15" hidden="false" customHeight="false" outlineLevel="0" collapsed="false">
      <c r="A101" s="8" t="s">
        <v>32</v>
      </c>
      <c r="B101" s="8" t="s">
        <v>80</v>
      </c>
      <c r="C101" s="8" t="s">
        <v>55</v>
      </c>
      <c r="D101" s="9" t="s">
        <v>361</v>
      </c>
      <c r="E101" s="8" t="s">
        <v>350</v>
      </c>
      <c r="F101" s="8" t="s">
        <v>217</v>
      </c>
      <c r="G101" s="8" t="s">
        <v>218</v>
      </c>
      <c r="H101" s="8"/>
      <c r="I101" s="10" t="s">
        <v>23</v>
      </c>
      <c r="J101" s="8" t="s">
        <v>362</v>
      </c>
      <c r="K101" s="11" t="s">
        <v>47</v>
      </c>
      <c r="L101" s="8"/>
      <c r="M101" s="12"/>
      <c r="N101" s="9" t="s">
        <v>73</v>
      </c>
      <c r="O101" s="9"/>
      <c r="P101" s="13"/>
      <c r="Q101" s="14"/>
    </row>
    <row r="102" customFormat="false" ht="15" hidden="false" customHeight="false" outlineLevel="0" collapsed="false">
      <c r="A102" s="8" t="s">
        <v>32</v>
      </c>
      <c r="B102" s="8" t="s">
        <v>85</v>
      </c>
      <c r="C102" s="8" t="s">
        <v>55</v>
      </c>
      <c r="D102" s="9" t="s">
        <v>268</v>
      </c>
      <c r="E102" s="8" t="s">
        <v>350</v>
      </c>
      <c r="F102" s="8" t="s">
        <v>217</v>
      </c>
      <c r="G102" s="8" t="s">
        <v>218</v>
      </c>
      <c r="H102" s="8"/>
      <c r="I102" s="10" t="s">
        <v>23</v>
      </c>
      <c r="J102" s="8" t="s">
        <v>363</v>
      </c>
      <c r="K102" s="11" t="s">
        <v>47</v>
      </c>
      <c r="L102" s="8"/>
      <c r="M102" s="12"/>
      <c r="N102" s="9" t="s">
        <v>68</v>
      </c>
      <c r="O102" s="9"/>
      <c r="P102" s="13"/>
      <c r="Q102" s="14"/>
    </row>
    <row r="103" customFormat="false" ht="15" hidden="false" customHeight="false" outlineLevel="0" collapsed="false">
      <c r="A103" s="8" t="s">
        <v>32</v>
      </c>
      <c r="B103" s="8" t="s">
        <v>54</v>
      </c>
      <c r="C103" s="8" t="s">
        <v>90</v>
      </c>
      <c r="D103" s="9" t="s">
        <v>364</v>
      </c>
      <c r="E103" s="8" t="s">
        <v>350</v>
      </c>
      <c r="F103" s="8" t="s">
        <v>217</v>
      </c>
      <c r="G103" s="8" t="s">
        <v>218</v>
      </c>
      <c r="H103" s="8"/>
      <c r="I103" s="10" t="s">
        <v>23</v>
      </c>
      <c r="J103" s="8" t="s">
        <v>365</v>
      </c>
      <c r="K103" s="11" t="s">
        <v>47</v>
      </c>
      <c r="L103" s="8"/>
      <c r="M103" s="12"/>
      <c r="N103" s="9" t="s">
        <v>366</v>
      </c>
      <c r="O103" s="9"/>
      <c r="P103" s="13"/>
      <c r="Q103" s="14"/>
    </row>
    <row r="104" customFormat="false" ht="15" hidden="false" customHeight="false" outlineLevel="0" collapsed="false">
      <c r="A104" s="8" t="s">
        <v>32</v>
      </c>
      <c r="B104" s="8" t="s">
        <v>63</v>
      </c>
      <c r="C104" s="8" t="s">
        <v>90</v>
      </c>
      <c r="D104" s="9" t="s">
        <v>367</v>
      </c>
      <c r="E104" s="8" t="s">
        <v>350</v>
      </c>
      <c r="F104" s="8" t="s">
        <v>217</v>
      </c>
      <c r="G104" s="8" t="s">
        <v>218</v>
      </c>
      <c r="H104" s="8"/>
      <c r="I104" s="10" t="s">
        <v>23</v>
      </c>
      <c r="J104" s="8" t="s">
        <v>368</v>
      </c>
      <c r="K104" s="11" t="s">
        <v>47</v>
      </c>
      <c r="L104" s="8"/>
      <c r="M104" s="12"/>
      <c r="N104" s="9" t="s">
        <v>369</v>
      </c>
      <c r="O104" s="9"/>
      <c r="P104" s="13"/>
      <c r="Q104" s="14"/>
    </row>
    <row r="105" customFormat="false" ht="15" hidden="false" customHeight="false" outlineLevel="0" collapsed="false">
      <c r="A105" s="8" t="s">
        <v>32</v>
      </c>
      <c r="B105" s="8" t="s">
        <v>69</v>
      </c>
      <c r="C105" s="8" t="s">
        <v>90</v>
      </c>
      <c r="D105" s="9" t="s">
        <v>370</v>
      </c>
      <c r="E105" s="8" t="s">
        <v>350</v>
      </c>
      <c r="F105" s="8" t="s">
        <v>217</v>
      </c>
      <c r="G105" s="8" t="s">
        <v>218</v>
      </c>
      <c r="H105" s="8"/>
      <c r="I105" s="10" t="s">
        <v>23</v>
      </c>
      <c r="J105" s="8" t="s">
        <v>371</v>
      </c>
      <c r="K105" s="11" t="s">
        <v>47</v>
      </c>
      <c r="L105" s="8"/>
      <c r="M105" s="12"/>
      <c r="N105" s="9" t="s">
        <v>372</v>
      </c>
      <c r="O105" s="9"/>
      <c r="P105" s="13"/>
      <c r="Q105" s="14"/>
    </row>
    <row r="106" customFormat="false" ht="15" hidden="false" customHeight="false" outlineLevel="0" collapsed="false">
      <c r="A106" s="8" t="s">
        <v>32</v>
      </c>
      <c r="B106" s="8" t="s">
        <v>74</v>
      </c>
      <c r="C106" s="8" t="s">
        <v>90</v>
      </c>
      <c r="D106" s="9" t="s">
        <v>373</v>
      </c>
      <c r="E106" s="8" t="s">
        <v>350</v>
      </c>
      <c r="F106" s="8" t="s">
        <v>217</v>
      </c>
      <c r="G106" s="8" t="s">
        <v>218</v>
      </c>
      <c r="H106" s="8"/>
      <c r="I106" s="10" t="s">
        <v>23</v>
      </c>
      <c r="J106" s="8" t="s">
        <v>374</v>
      </c>
      <c r="K106" s="11" t="s">
        <v>47</v>
      </c>
      <c r="L106" s="8"/>
      <c r="M106" s="12"/>
      <c r="N106" s="9" t="s">
        <v>375</v>
      </c>
      <c r="O106" s="9"/>
      <c r="P106" s="13"/>
      <c r="Q106" s="14"/>
    </row>
    <row r="107" customFormat="false" ht="22.35" hidden="false" customHeight="false" outlineLevel="0" collapsed="false">
      <c r="A107" s="8" t="s">
        <v>32</v>
      </c>
      <c r="B107" s="8" t="s">
        <v>80</v>
      </c>
      <c r="C107" s="8" t="s">
        <v>90</v>
      </c>
      <c r="D107" s="9" t="s">
        <v>376</v>
      </c>
      <c r="E107" s="8" t="s">
        <v>350</v>
      </c>
      <c r="F107" s="8" t="s">
        <v>217</v>
      </c>
      <c r="G107" s="8" t="s">
        <v>218</v>
      </c>
      <c r="H107" s="8"/>
      <c r="I107" s="16" t="s">
        <v>26</v>
      </c>
      <c r="J107" s="8" t="s">
        <v>377</v>
      </c>
      <c r="K107" s="11" t="s">
        <v>47</v>
      </c>
      <c r="L107" s="8"/>
      <c r="M107" s="12"/>
      <c r="N107" s="9" t="s">
        <v>84</v>
      </c>
      <c r="O107" s="9"/>
      <c r="P107" s="13"/>
      <c r="Q107" s="14"/>
    </row>
    <row r="108" customFormat="false" ht="15" hidden="false" customHeight="false" outlineLevel="0" collapsed="false">
      <c r="A108" s="8" t="s">
        <v>32</v>
      </c>
      <c r="B108" s="8" t="s">
        <v>85</v>
      </c>
      <c r="C108" s="8" t="s">
        <v>90</v>
      </c>
      <c r="D108" s="9" t="s">
        <v>378</v>
      </c>
      <c r="E108" s="8" t="s">
        <v>350</v>
      </c>
      <c r="F108" s="8" t="s">
        <v>217</v>
      </c>
      <c r="G108" s="8" t="s">
        <v>218</v>
      </c>
      <c r="H108" s="8"/>
      <c r="I108" s="10" t="s">
        <v>23</v>
      </c>
      <c r="J108" s="8" t="s">
        <v>379</v>
      </c>
      <c r="K108" s="11" t="s">
        <v>47</v>
      </c>
      <c r="L108" s="8"/>
      <c r="M108" s="12"/>
      <c r="N108" s="9" t="s">
        <v>380</v>
      </c>
      <c r="O108" s="9"/>
      <c r="P108" s="13"/>
      <c r="Q108" s="14"/>
    </row>
    <row r="109" customFormat="false" ht="15" hidden="false" customHeight="false" outlineLevel="0" collapsed="false">
      <c r="A109" s="8" t="s">
        <v>32</v>
      </c>
      <c r="B109" s="8" t="s">
        <v>54</v>
      </c>
      <c r="C109" s="8" t="s">
        <v>111</v>
      </c>
      <c r="D109" s="9" t="s">
        <v>381</v>
      </c>
      <c r="E109" s="8" t="s">
        <v>350</v>
      </c>
      <c r="F109" s="8" t="s">
        <v>217</v>
      </c>
      <c r="G109" s="8" t="s">
        <v>218</v>
      </c>
      <c r="H109" s="8"/>
      <c r="I109" s="10" t="s">
        <v>23</v>
      </c>
      <c r="J109" s="8" t="s">
        <v>382</v>
      </c>
      <c r="K109" s="11" t="s">
        <v>47</v>
      </c>
      <c r="L109" s="8"/>
      <c r="M109" s="12"/>
      <c r="N109" s="9" t="s">
        <v>383</v>
      </c>
      <c r="O109" s="9"/>
      <c r="P109" s="13"/>
      <c r="Q109" s="14"/>
    </row>
    <row r="110" customFormat="false" ht="15" hidden="false" customHeight="false" outlineLevel="0" collapsed="false">
      <c r="A110" s="8" t="s">
        <v>32</v>
      </c>
      <c r="B110" s="8" t="s">
        <v>63</v>
      </c>
      <c r="C110" s="8" t="s">
        <v>111</v>
      </c>
      <c r="D110" s="9" t="s">
        <v>384</v>
      </c>
      <c r="E110" s="8" t="s">
        <v>350</v>
      </c>
      <c r="F110" s="8" t="s">
        <v>217</v>
      </c>
      <c r="G110" s="8" t="s">
        <v>218</v>
      </c>
      <c r="H110" s="8"/>
      <c r="I110" s="10" t="s">
        <v>23</v>
      </c>
      <c r="J110" s="8" t="s">
        <v>385</v>
      </c>
      <c r="K110" s="11" t="s">
        <v>47</v>
      </c>
      <c r="L110" s="8"/>
      <c r="M110" s="12"/>
      <c r="N110" s="9" t="s">
        <v>73</v>
      </c>
      <c r="O110" s="9"/>
      <c r="P110" s="13"/>
      <c r="Q110" s="14"/>
    </row>
    <row r="111" customFormat="false" ht="15" hidden="false" customHeight="false" outlineLevel="0" collapsed="false">
      <c r="A111" s="8" t="s">
        <v>32</v>
      </c>
      <c r="B111" s="8" t="s">
        <v>69</v>
      </c>
      <c r="C111" s="8" t="s">
        <v>111</v>
      </c>
      <c r="D111" s="9" t="s">
        <v>173</v>
      </c>
      <c r="E111" s="8" t="s">
        <v>350</v>
      </c>
      <c r="F111" s="8" t="s">
        <v>217</v>
      </c>
      <c r="G111" s="8" t="s">
        <v>218</v>
      </c>
      <c r="H111" s="8"/>
      <c r="I111" s="10" t="s">
        <v>23</v>
      </c>
      <c r="J111" s="8" t="s">
        <v>386</v>
      </c>
      <c r="K111" s="11" t="s">
        <v>47</v>
      </c>
      <c r="L111" s="8"/>
      <c r="M111" s="12"/>
      <c r="N111" s="9" t="s">
        <v>73</v>
      </c>
      <c r="O111" s="9"/>
      <c r="P111" s="13"/>
      <c r="Q111" s="14"/>
    </row>
    <row r="112" customFormat="false" ht="22.35" hidden="false" customHeight="false" outlineLevel="0" collapsed="false">
      <c r="A112" s="8" t="s">
        <v>32</v>
      </c>
      <c r="B112" s="8" t="s">
        <v>74</v>
      </c>
      <c r="C112" s="8" t="s">
        <v>111</v>
      </c>
      <c r="D112" s="9" t="s">
        <v>387</v>
      </c>
      <c r="E112" s="8" t="s">
        <v>350</v>
      </c>
      <c r="F112" s="8" t="s">
        <v>217</v>
      </c>
      <c r="G112" s="8" t="s">
        <v>218</v>
      </c>
      <c r="H112" s="8"/>
      <c r="I112" s="16" t="s">
        <v>26</v>
      </c>
      <c r="J112" s="8" t="s">
        <v>388</v>
      </c>
      <c r="K112" s="11" t="s">
        <v>47</v>
      </c>
      <c r="L112" s="8"/>
      <c r="M112" s="12"/>
      <c r="N112" s="9" t="s">
        <v>84</v>
      </c>
      <c r="O112" s="9"/>
      <c r="P112" s="13"/>
      <c r="Q112" s="14"/>
    </row>
    <row r="113" customFormat="false" ht="15" hidden="false" customHeight="false" outlineLevel="0" collapsed="false">
      <c r="A113" s="8" t="s">
        <v>32</v>
      </c>
      <c r="B113" s="8" t="s">
        <v>80</v>
      </c>
      <c r="C113" s="8" t="s">
        <v>111</v>
      </c>
      <c r="D113" s="9" t="s">
        <v>389</v>
      </c>
      <c r="E113" s="8" t="s">
        <v>350</v>
      </c>
      <c r="F113" s="8" t="s">
        <v>217</v>
      </c>
      <c r="G113" s="8" t="s">
        <v>218</v>
      </c>
      <c r="H113" s="8"/>
      <c r="I113" s="10" t="s">
        <v>23</v>
      </c>
      <c r="J113" s="8" t="s">
        <v>390</v>
      </c>
      <c r="K113" s="11" t="s">
        <v>47</v>
      </c>
      <c r="L113" s="8"/>
      <c r="M113" s="12"/>
      <c r="N113" s="9" t="s">
        <v>391</v>
      </c>
      <c r="O113" s="9"/>
      <c r="P113" s="13"/>
      <c r="Q113" s="14"/>
    </row>
    <row r="114" customFormat="false" ht="15" hidden="false" customHeight="false" outlineLevel="0" collapsed="false">
      <c r="A114" s="8" t="s">
        <v>32</v>
      </c>
      <c r="B114" s="8" t="s">
        <v>85</v>
      </c>
      <c r="C114" s="8" t="s">
        <v>111</v>
      </c>
      <c r="D114" s="9" t="s">
        <v>392</v>
      </c>
      <c r="E114" s="8" t="s">
        <v>350</v>
      </c>
      <c r="F114" s="8" t="s">
        <v>217</v>
      </c>
      <c r="G114" s="8" t="s">
        <v>218</v>
      </c>
      <c r="H114" s="8"/>
      <c r="I114" s="10" t="s">
        <v>23</v>
      </c>
      <c r="J114" s="8" t="s">
        <v>393</v>
      </c>
      <c r="K114" s="11" t="s">
        <v>47</v>
      </c>
      <c r="L114" s="8"/>
      <c r="M114" s="12"/>
      <c r="N114" s="9" t="s">
        <v>68</v>
      </c>
      <c r="O114" s="9"/>
      <c r="P114" s="13"/>
      <c r="Q114" s="14"/>
    </row>
    <row r="115" customFormat="false" ht="15" hidden="false" customHeight="false" outlineLevel="0" collapsed="false">
      <c r="A115" s="8" t="s">
        <v>32</v>
      </c>
      <c r="B115" s="8" t="s">
        <v>54</v>
      </c>
      <c r="C115" s="8" t="s">
        <v>127</v>
      </c>
      <c r="D115" s="9" t="s">
        <v>394</v>
      </c>
      <c r="E115" s="8" t="s">
        <v>350</v>
      </c>
      <c r="F115" s="8" t="s">
        <v>217</v>
      </c>
      <c r="G115" s="8" t="s">
        <v>218</v>
      </c>
      <c r="H115" s="8"/>
      <c r="I115" s="10" t="s">
        <v>23</v>
      </c>
      <c r="J115" s="8" t="s">
        <v>395</v>
      </c>
      <c r="K115" s="11" t="s">
        <v>47</v>
      </c>
      <c r="L115" s="8"/>
      <c r="M115" s="12"/>
      <c r="N115" s="9" t="s">
        <v>396</v>
      </c>
      <c r="O115" s="9"/>
      <c r="P115" s="13"/>
      <c r="Q115" s="14"/>
    </row>
    <row r="116" customFormat="false" ht="15" hidden="false" customHeight="false" outlineLevel="0" collapsed="false">
      <c r="A116" s="8" t="s">
        <v>32</v>
      </c>
      <c r="B116" s="8" t="s">
        <v>63</v>
      </c>
      <c r="C116" s="8" t="s">
        <v>127</v>
      </c>
      <c r="D116" s="9" t="s">
        <v>397</v>
      </c>
      <c r="E116" s="8" t="s">
        <v>350</v>
      </c>
      <c r="F116" s="8" t="s">
        <v>217</v>
      </c>
      <c r="G116" s="8" t="s">
        <v>218</v>
      </c>
      <c r="H116" s="8"/>
      <c r="I116" s="10" t="s">
        <v>23</v>
      </c>
      <c r="J116" s="8" t="s">
        <v>398</v>
      </c>
      <c r="K116" s="11" t="s">
        <v>47</v>
      </c>
      <c r="L116" s="8"/>
      <c r="M116" s="12"/>
      <c r="N116" s="9" t="s">
        <v>73</v>
      </c>
      <c r="O116" s="9"/>
      <c r="P116" s="13"/>
      <c r="Q116" s="14"/>
    </row>
    <row r="117" customFormat="false" ht="22.35" hidden="false" customHeight="false" outlineLevel="0" collapsed="false">
      <c r="A117" s="8" t="s">
        <v>32</v>
      </c>
      <c r="B117" s="8" t="s">
        <v>69</v>
      </c>
      <c r="C117" s="8" t="s">
        <v>127</v>
      </c>
      <c r="D117" s="9" t="s">
        <v>399</v>
      </c>
      <c r="E117" s="8" t="s">
        <v>350</v>
      </c>
      <c r="F117" s="8" t="s">
        <v>217</v>
      </c>
      <c r="G117" s="8" t="s">
        <v>218</v>
      </c>
      <c r="H117" s="8"/>
      <c r="I117" s="15" t="s">
        <v>25</v>
      </c>
      <c r="J117" s="8" t="s">
        <v>400</v>
      </c>
      <c r="K117" s="11" t="s">
        <v>47</v>
      </c>
      <c r="L117" s="8"/>
      <c r="M117" s="12"/>
      <c r="N117" s="9" t="s">
        <v>401</v>
      </c>
      <c r="O117" s="9" t="s">
        <v>402</v>
      </c>
      <c r="P117" s="13"/>
      <c r="Q117" s="14"/>
    </row>
    <row r="118" customFormat="false" ht="15" hidden="false" customHeight="false" outlineLevel="0" collapsed="false">
      <c r="A118" s="8" t="s">
        <v>32</v>
      </c>
      <c r="B118" s="8" t="s">
        <v>74</v>
      </c>
      <c r="C118" s="8" t="s">
        <v>127</v>
      </c>
      <c r="D118" s="9" t="s">
        <v>403</v>
      </c>
      <c r="E118" s="8" t="s">
        <v>350</v>
      </c>
      <c r="F118" s="8" t="s">
        <v>217</v>
      </c>
      <c r="G118" s="8" t="s">
        <v>218</v>
      </c>
      <c r="H118" s="8"/>
      <c r="I118" s="10" t="s">
        <v>23</v>
      </c>
      <c r="J118" s="8" t="s">
        <v>404</v>
      </c>
      <c r="K118" s="11" t="s">
        <v>47</v>
      </c>
      <c r="L118" s="8"/>
      <c r="M118" s="12"/>
      <c r="N118" s="9" t="s">
        <v>68</v>
      </c>
      <c r="O118" s="9"/>
      <c r="P118" s="13"/>
      <c r="Q118" s="14"/>
    </row>
    <row r="119" customFormat="false" ht="22.35" hidden="false" customHeight="false" outlineLevel="0" collapsed="false">
      <c r="A119" s="8" t="s">
        <v>32</v>
      </c>
      <c r="B119" s="8" t="s">
        <v>80</v>
      </c>
      <c r="C119" s="8" t="s">
        <v>127</v>
      </c>
      <c r="D119" s="9" t="s">
        <v>405</v>
      </c>
      <c r="E119" s="8" t="s">
        <v>350</v>
      </c>
      <c r="F119" s="8" t="s">
        <v>217</v>
      </c>
      <c r="G119" s="8" t="s">
        <v>218</v>
      </c>
      <c r="H119" s="8"/>
      <c r="I119" s="15" t="s">
        <v>25</v>
      </c>
      <c r="J119" s="8" t="s">
        <v>406</v>
      </c>
      <c r="K119" s="11" t="s">
        <v>47</v>
      </c>
      <c r="L119" s="8"/>
      <c r="M119" s="12"/>
      <c r="N119" s="9" t="s">
        <v>407</v>
      </c>
      <c r="O119" s="9" t="s">
        <v>408</v>
      </c>
      <c r="P119" s="13"/>
      <c r="Q119" s="14"/>
    </row>
    <row r="120" customFormat="false" ht="22.35" hidden="false" customHeight="false" outlineLevel="0" collapsed="false">
      <c r="A120" s="8" t="s">
        <v>32</v>
      </c>
      <c r="B120" s="8" t="s">
        <v>85</v>
      </c>
      <c r="C120" s="8" t="s">
        <v>127</v>
      </c>
      <c r="D120" s="9" t="s">
        <v>243</v>
      </c>
      <c r="E120" s="8" t="s">
        <v>350</v>
      </c>
      <c r="F120" s="8" t="s">
        <v>217</v>
      </c>
      <c r="G120" s="8" t="s">
        <v>218</v>
      </c>
      <c r="H120" s="8"/>
      <c r="I120" s="15" t="s">
        <v>25</v>
      </c>
      <c r="J120" s="8" t="s">
        <v>351</v>
      </c>
      <c r="K120" s="11" t="s">
        <v>47</v>
      </c>
      <c r="L120" s="8"/>
      <c r="M120" s="12"/>
      <c r="N120" s="9" t="s">
        <v>409</v>
      </c>
      <c r="O120" s="9" t="s">
        <v>410</v>
      </c>
      <c r="P120" s="13"/>
      <c r="Q120" s="14"/>
    </row>
    <row r="121" customFormat="false" ht="15" hidden="false" customHeight="false" outlineLevel="0" collapsed="false">
      <c r="A121" s="8" t="s">
        <v>33</v>
      </c>
      <c r="B121" s="8" t="s">
        <v>54</v>
      </c>
      <c r="C121" s="8" t="s">
        <v>55</v>
      </c>
      <c r="D121" s="9" t="s">
        <v>411</v>
      </c>
      <c r="E121" s="8" t="s">
        <v>279</v>
      </c>
      <c r="F121" s="8" t="s">
        <v>412</v>
      </c>
      <c r="G121" s="8" t="s">
        <v>413</v>
      </c>
      <c r="H121" s="8" t="s">
        <v>60</v>
      </c>
      <c r="I121" s="10" t="s">
        <v>23</v>
      </c>
      <c r="J121" s="8" t="s">
        <v>414</v>
      </c>
      <c r="K121" s="11" t="s">
        <v>47</v>
      </c>
      <c r="L121" s="8"/>
      <c r="M121" s="12"/>
      <c r="N121" s="9" t="s">
        <v>415</v>
      </c>
      <c r="O121" s="9"/>
      <c r="P121" s="13"/>
      <c r="Q121" s="14"/>
    </row>
    <row r="122" customFormat="false" ht="15" hidden="false" customHeight="false" outlineLevel="0" collapsed="false">
      <c r="A122" s="8" t="s">
        <v>33</v>
      </c>
      <c r="B122" s="8" t="s">
        <v>63</v>
      </c>
      <c r="C122" s="8" t="s">
        <v>55</v>
      </c>
      <c r="D122" s="9" t="s">
        <v>416</v>
      </c>
      <c r="E122" s="8" t="s">
        <v>279</v>
      </c>
      <c r="F122" s="8" t="s">
        <v>412</v>
      </c>
      <c r="G122" s="8" t="s">
        <v>417</v>
      </c>
      <c r="H122" s="8" t="s">
        <v>60</v>
      </c>
      <c r="I122" s="10" t="s">
        <v>23</v>
      </c>
      <c r="J122" s="8" t="s">
        <v>418</v>
      </c>
      <c r="K122" s="11" t="s">
        <v>47</v>
      </c>
      <c r="L122" s="8"/>
      <c r="M122" s="12"/>
      <c r="N122" s="9" t="s">
        <v>73</v>
      </c>
      <c r="O122" s="9"/>
      <c r="P122" s="13"/>
      <c r="Q122" s="14"/>
    </row>
    <row r="123" customFormat="false" ht="15" hidden="false" customHeight="false" outlineLevel="0" collapsed="false">
      <c r="A123" s="8" t="s">
        <v>33</v>
      </c>
      <c r="B123" s="8" t="s">
        <v>69</v>
      </c>
      <c r="C123" s="8" t="s">
        <v>55</v>
      </c>
      <c r="D123" s="9" t="s">
        <v>419</v>
      </c>
      <c r="E123" s="8" t="s">
        <v>279</v>
      </c>
      <c r="F123" s="8" t="s">
        <v>412</v>
      </c>
      <c r="G123" s="8" t="s">
        <v>420</v>
      </c>
      <c r="H123" s="8" t="s">
        <v>60</v>
      </c>
      <c r="I123" s="10" t="s">
        <v>23</v>
      </c>
      <c r="J123" s="8" t="s">
        <v>421</v>
      </c>
      <c r="K123" s="11" t="s">
        <v>47</v>
      </c>
      <c r="L123" s="8"/>
      <c r="M123" s="12"/>
      <c r="N123" s="9" t="s">
        <v>422</v>
      </c>
      <c r="O123" s="9"/>
      <c r="P123" s="13"/>
      <c r="Q123" s="14"/>
    </row>
    <row r="124" customFormat="false" ht="22.35" hidden="false" customHeight="false" outlineLevel="0" collapsed="false">
      <c r="A124" s="8" t="s">
        <v>33</v>
      </c>
      <c r="B124" s="8" t="s">
        <v>74</v>
      </c>
      <c r="C124" s="8" t="s">
        <v>55</v>
      </c>
      <c r="D124" s="9" t="s">
        <v>423</v>
      </c>
      <c r="E124" s="8" t="s">
        <v>279</v>
      </c>
      <c r="F124" s="8" t="s">
        <v>412</v>
      </c>
      <c r="G124" s="8" t="s">
        <v>424</v>
      </c>
      <c r="H124" s="8" t="s">
        <v>60</v>
      </c>
      <c r="I124" s="15" t="s">
        <v>25</v>
      </c>
      <c r="J124" s="8" t="s">
        <v>425</v>
      </c>
      <c r="K124" s="11" t="s">
        <v>47</v>
      </c>
      <c r="L124" s="8"/>
      <c r="M124" s="12"/>
      <c r="N124" s="9" t="s">
        <v>426</v>
      </c>
      <c r="O124" s="9" t="s">
        <v>427</v>
      </c>
      <c r="P124" s="13"/>
      <c r="Q124" s="14"/>
    </row>
    <row r="125" customFormat="false" ht="22.35" hidden="false" customHeight="false" outlineLevel="0" collapsed="false">
      <c r="A125" s="8" t="s">
        <v>33</v>
      </c>
      <c r="B125" s="8" t="s">
        <v>80</v>
      </c>
      <c r="C125" s="8" t="s">
        <v>55</v>
      </c>
      <c r="D125" s="9" t="s">
        <v>428</v>
      </c>
      <c r="E125" s="8" t="s">
        <v>279</v>
      </c>
      <c r="F125" s="8" t="s">
        <v>412</v>
      </c>
      <c r="G125" s="8" t="s">
        <v>424</v>
      </c>
      <c r="H125" s="8" t="s">
        <v>60</v>
      </c>
      <c r="I125" s="15" t="s">
        <v>25</v>
      </c>
      <c r="J125" s="8" t="s">
        <v>429</v>
      </c>
      <c r="K125" s="11" t="s">
        <v>47</v>
      </c>
      <c r="L125" s="8"/>
      <c r="M125" s="12"/>
      <c r="N125" s="9" t="s">
        <v>426</v>
      </c>
      <c r="O125" s="9" t="s">
        <v>427</v>
      </c>
      <c r="P125" s="13"/>
      <c r="Q125" s="14"/>
    </row>
    <row r="126" customFormat="false" ht="15" hidden="false" customHeight="false" outlineLevel="0" collapsed="false">
      <c r="A126" s="8" t="s">
        <v>33</v>
      </c>
      <c r="B126" s="8" t="s">
        <v>85</v>
      </c>
      <c r="C126" s="8" t="s">
        <v>55</v>
      </c>
      <c r="D126" s="9" t="s">
        <v>430</v>
      </c>
      <c r="E126" s="8" t="s">
        <v>279</v>
      </c>
      <c r="F126" s="8" t="s">
        <v>412</v>
      </c>
      <c r="G126" s="8" t="s">
        <v>431</v>
      </c>
      <c r="H126" s="8" t="s">
        <v>88</v>
      </c>
      <c r="I126" s="10" t="s">
        <v>23</v>
      </c>
      <c r="J126" s="8" t="s">
        <v>432</v>
      </c>
      <c r="K126" s="11" t="s">
        <v>47</v>
      </c>
      <c r="L126" s="8"/>
      <c r="M126" s="12"/>
      <c r="N126" s="9" t="s">
        <v>433</v>
      </c>
      <c r="O126" s="9"/>
      <c r="P126" s="13"/>
      <c r="Q126" s="14"/>
    </row>
    <row r="127" customFormat="false" ht="15" hidden="false" customHeight="false" outlineLevel="0" collapsed="false">
      <c r="A127" s="8" t="s">
        <v>33</v>
      </c>
      <c r="B127" s="8" t="s">
        <v>54</v>
      </c>
      <c r="C127" s="8" t="s">
        <v>90</v>
      </c>
      <c r="D127" s="9" t="s">
        <v>434</v>
      </c>
      <c r="E127" s="8" t="s">
        <v>279</v>
      </c>
      <c r="F127" s="8" t="s">
        <v>412</v>
      </c>
      <c r="G127" s="8" t="s">
        <v>413</v>
      </c>
      <c r="H127" s="8" t="s">
        <v>60</v>
      </c>
      <c r="I127" s="10" t="s">
        <v>23</v>
      </c>
      <c r="J127" s="8" t="s">
        <v>435</v>
      </c>
      <c r="K127" s="11" t="s">
        <v>47</v>
      </c>
      <c r="L127" s="8"/>
      <c r="M127" s="12"/>
      <c r="N127" s="9" t="s">
        <v>436</v>
      </c>
      <c r="O127" s="9"/>
      <c r="P127" s="13"/>
      <c r="Q127" s="14"/>
    </row>
    <row r="128" customFormat="false" ht="15" hidden="false" customHeight="false" outlineLevel="0" collapsed="false">
      <c r="A128" s="8" t="s">
        <v>33</v>
      </c>
      <c r="B128" s="8" t="s">
        <v>63</v>
      </c>
      <c r="C128" s="8" t="s">
        <v>90</v>
      </c>
      <c r="D128" s="9" t="s">
        <v>437</v>
      </c>
      <c r="E128" s="8" t="s">
        <v>279</v>
      </c>
      <c r="F128" s="8" t="s">
        <v>412</v>
      </c>
      <c r="G128" s="8" t="s">
        <v>417</v>
      </c>
      <c r="H128" s="8" t="s">
        <v>60</v>
      </c>
      <c r="I128" s="15" t="s">
        <v>25</v>
      </c>
      <c r="J128" s="8" t="s">
        <v>438</v>
      </c>
      <c r="K128" s="11" t="s">
        <v>47</v>
      </c>
      <c r="L128" s="8"/>
      <c r="M128" s="12"/>
      <c r="N128" s="9" t="s">
        <v>439</v>
      </c>
      <c r="O128" s="9"/>
      <c r="P128" s="13"/>
      <c r="Q128" s="14"/>
    </row>
    <row r="129" customFormat="false" ht="15" hidden="false" customHeight="false" outlineLevel="0" collapsed="false">
      <c r="A129" s="8" t="s">
        <v>33</v>
      </c>
      <c r="B129" s="8" t="s">
        <v>69</v>
      </c>
      <c r="C129" s="8" t="s">
        <v>90</v>
      </c>
      <c r="D129" s="9" t="s">
        <v>440</v>
      </c>
      <c r="E129" s="8" t="s">
        <v>279</v>
      </c>
      <c r="F129" s="8" t="s">
        <v>412</v>
      </c>
      <c r="G129" s="8" t="s">
        <v>420</v>
      </c>
      <c r="H129" s="8" t="s">
        <v>60</v>
      </c>
      <c r="I129" s="10" t="s">
        <v>23</v>
      </c>
      <c r="J129" s="8" t="s">
        <v>441</v>
      </c>
      <c r="K129" s="11" t="s">
        <v>47</v>
      </c>
      <c r="L129" s="8"/>
      <c r="M129" s="12"/>
      <c r="N129" s="9" t="s">
        <v>442</v>
      </c>
      <c r="O129" s="9"/>
      <c r="P129" s="13"/>
      <c r="Q129" s="14"/>
    </row>
    <row r="130" customFormat="false" ht="22.35" hidden="false" customHeight="false" outlineLevel="0" collapsed="false">
      <c r="A130" s="8" t="s">
        <v>33</v>
      </c>
      <c r="B130" s="8" t="s">
        <v>74</v>
      </c>
      <c r="C130" s="8" t="s">
        <v>90</v>
      </c>
      <c r="D130" s="9" t="s">
        <v>423</v>
      </c>
      <c r="E130" s="8" t="s">
        <v>279</v>
      </c>
      <c r="F130" s="8" t="s">
        <v>412</v>
      </c>
      <c r="G130" s="8" t="s">
        <v>424</v>
      </c>
      <c r="H130" s="8" t="s">
        <v>60</v>
      </c>
      <c r="I130" s="15" t="s">
        <v>25</v>
      </c>
      <c r="J130" s="8" t="s">
        <v>443</v>
      </c>
      <c r="K130" s="11" t="s">
        <v>47</v>
      </c>
      <c r="L130" s="8"/>
      <c r="M130" s="12"/>
      <c r="N130" s="9" t="s">
        <v>426</v>
      </c>
      <c r="O130" s="9" t="s">
        <v>427</v>
      </c>
      <c r="P130" s="13"/>
      <c r="Q130" s="14"/>
    </row>
    <row r="131" customFormat="false" ht="22.35" hidden="false" customHeight="false" outlineLevel="0" collapsed="false">
      <c r="A131" s="8" t="s">
        <v>33</v>
      </c>
      <c r="B131" s="8" t="s">
        <v>80</v>
      </c>
      <c r="C131" s="8" t="s">
        <v>90</v>
      </c>
      <c r="D131" s="9" t="s">
        <v>428</v>
      </c>
      <c r="E131" s="8" t="s">
        <v>279</v>
      </c>
      <c r="F131" s="8" t="s">
        <v>412</v>
      </c>
      <c r="G131" s="8" t="s">
        <v>424</v>
      </c>
      <c r="H131" s="8" t="s">
        <v>60</v>
      </c>
      <c r="I131" s="15" t="s">
        <v>25</v>
      </c>
      <c r="J131" s="8" t="s">
        <v>444</v>
      </c>
      <c r="K131" s="11" t="s">
        <v>47</v>
      </c>
      <c r="L131" s="8"/>
      <c r="M131" s="12"/>
      <c r="N131" s="9" t="s">
        <v>445</v>
      </c>
      <c r="O131" s="9" t="s">
        <v>427</v>
      </c>
      <c r="P131" s="13"/>
      <c r="Q131" s="14"/>
    </row>
    <row r="132" customFormat="false" ht="15" hidden="false" customHeight="false" outlineLevel="0" collapsed="false">
      <c r="A132" s="8" t="s">
        <v>33</v>
      </c>
      <c r="B132" s="8" t="s">
        <v>85</v>
      </c>
      <c r="C132" s="8" t="s">
        <v>90</v>
      </c>
      <c r="D132" s="9" t="s">
        <v>430</v>
      </c>
      <c r="E132" s="8" t="s">
        <v>279</v>
      </c>
      <c r="F132" s="8" t="s">
        <v>412</v>
      </c>
      <c r="G132" s="8" t="s">
        <v>431</v>
      </c>
      <c r="H132" s="8" t="s">
        <v>88</v>
      </c>
      <c r="I132" s="10" t="s">
        <v>23</v>
      </c>
      <c r="J132" s="8" t="s">
        <v>432</v>
      </c>
      <c r="K132" s="11" t="s">
        <v>47</v>
      </c>
      <c r="L132" s="8"/>
      <c r="M132" s="12"/>
      <c r="N132" s="9" t="s">
        <v>433</v>
      </c>
      <c r="O132" s="9"/>
      <c r="P132" s="13"/>
      <c r="Q132" s="14"/>
    </row>
    <row r="133" customFormat="false" ht="15" hidden="false" customHeight="false" outlineLevel="0" collapsed="false">
      <c r="A133" s="8" t="s">
        <v>33</v>
      </c>
      <c r="B133" s="8" t="s">
        <v>54</v>
      </c>
      <c r="C133" s="8" t="s">
        <v>111</v>
      </c>
      <c r="D133" s="9" t="s">
        <v>446</v>
      </c>
      <c r="E133" s="8" t="s">
        <v>279</v>
      </c>
      <c r="F133" s="8" t="s">
        <v>412</v>
      </c>
      <c r="G133" s="8" t="s">
        <v>413</v>
      </c>
      <c r="H133" s="8" t="s">
        <v>60</v>
      </c>
      <c r="I133" s="10" t="s">
        <v>23</v>
      </c>
      <c r="J133" s="8" t="s">
        <v>447</v>
      </c>
      <c r="K133" s="11" t="s">
        <v>47</v>
      </c>
      <c r="L133" s="8"/>
      <c r="M133" s="12"/>
      <c r="N133" s="9" t="s">
        <v>73</v>
      </c>
      <c r="O133" s="9"/>
      <c r="P133" s="13"/>
      <c r="Q133" s="14"/>
    </row>
    <row r="134" customFormat="false" ht="15" hidden="false" customHeight="false" outlineLevel="0" collapsed="false">
      <c r="A134" s="8" t="s">
        <v>33</v>
      </c>
      <c r="B134" s="8" t="s">
        <v>63</v>
      </c>
      <c r="C134" s="8" t="s">
        <v>111</v>
      </c>
      <c r="D134" s="9" t="s">
        <v>448</v>
      </c>
      <c r="E134" s="8" t="s">
        <v>279</v>
      </c>
      <c r="F134" s="8" t="s">
        <v>412</v>
      </c>
      <c r="G134" s="8" t="s">
        <v>417</v>
      </c>
      <c r="H134" s="8" t="s">
        <v>60</v>
      </c>
      <c r="I134" s="10" t="s">
        <v>23</v>
      </c>
      <c r="J134" s="8" t="s">
        <v>449</v>
      </c>
      <c r="K134" s="11" t="s">
        <v>47</v>
      </c>
      <c r="L134" s="8"/>
      <c r="M134" s="12"/>
      <c r="N134" s="9" t="s">
        <v>73</v>
      </c>
      <c r="O134" s="9"/>
      <c r="P134" s="13"/>
      <c r="Q134" s="14"/>
    </row>
    <row r="135" customFormat="false" ht="15" hidden="false" customHeight="false" outlineLevel="0" collapsed="false">
      <c r="A135" s="8" t="s">
        <v>33</v>
      </c>
      <c r="B135" s="8" t="s">
        <v>69</v>
      </c>
      <c r="C135" s="8" t="s">
        <v>111</v>
      </c>
      <c r="D135" s="9" t="s">
        <v>450</v>
      </c>
      <c r="E135" s="8" t="s">
        <v>279</v>
      </c>
      <c r="F135" s="8" t="s">
        <v>412</v>
      </c>
      <c r="G135" s="8" t="s">
        <v>420</v>
      </c>
      <c r="H135" s="8" t="s">
        <v>60</v>
      </c>
      <c r="I135" s="10" t="s">
        <v>23</v>
      </c>
      <c r="J135" s="8" t="s">
        <v>451</v>
      </c>
      <c r="K135" s="11" t="s">
        <v>47</v>
      </c>
      <c r="L135" s="8"/>
      <c r="M135" s="12"/>
      <c r="N135" s="9" t="s">
        <v>164</v>
      </c>
      <c r="O135" s="9"/>
      <c r="P135" s="13"/>
      <c r="Q135" s="14"/>
    </row>
    <row r="136" customFormat="false" ht="22.35" hidden="false" customHeight="false" outlineLevel="0" collapsed="false">
      <c r="A136" s="8" t="s">
        <v>33</v>
      </c>
      <c r="B136" s="8" t="s">
        <v>74</v>
      </c>
      <c r="C136" s="8" t="s">
        <v>111</v>
      </c>
      <c r="D136" s="9" t="s">
        <v>423</v>
      </c>
      <c r="E136" s="8" t="s">
        <v>279</v>
      </c>
      <c r="F136" s="8" t="s">
        <v>412</v>
      </c>
      <c r="G136" s="8" t="s">
        <v>424</v>
      </c>
      <c r="H136" s="8" t="s">
        <v>60</v>
      </c>
      <c r="I136" s="15" t="s">
        <v>25</v>
      </c>
      <c r="J136" s="8" t="s">
        <v>452</v>
      </c>
      <c r="K136" s="11" t="s">
        <v>47</v>
      </c>
      <c r="L136" s="8"/>
      <c r="M136" s="12"/>
      <c r="N136" s="9" t="s">
        <v>426</v>
      </c>
      <c r="O136" s="9" t="s">
        <v>427</v>
      </c>
      <c r="P136" s="13"/>
      <c r="Q136" s="14"/>
    </row>
    <row r="137" customFormat="false" ht="22.35" hidden="false" customHeight="false" outlineLevel="0" collapsed="false">
      <c r="A137" s="8" t="s">
        <v>33</v>
      </c>
      <c r="B137" s="8" t="s">
        <v>80</v>
      </c>
      <c r="C137" s="8" t="s">
        <v>111</v>
      </c>
      <c r="D137" s="9" t="s">
        <v>428</v>
      </c>
      <c r="E137" s="8" t="s">
        <v>279</v>
      </c>
      <c r="F137" s="8" t="s">
        <v>412</v>
      </c>
      <c r="G137" s="8" t="s">
        <v>424</v>
      </c>
      <c r="H137" s="8" t="s">
        <v>60</v>
      </c>
      <c r="I137" s="15" t="s">
        <v>25</v>
      </c>
      <c r="J137" s="8" t="s">
        <v>453</v>
      </c>
      <c r="K137" s="11" t="s">
        <v>47</v>
      </c>
      <c r="L137" s="8"/>
      <c r="M137" s="12"/>
      <c r="N137" s="9" t="s">
        <v>454</v>
      </c>
      <c r="O137" s="9" t="s">
        <v>427</v>
      </c>
      <c r="P137" s="13"/>
      <c r="Q137" s="14"/>
    </row>
    <row r="138" customFormat="false" ht="15" hidden="false" customHeight="false" outlineLevel="0" collapsed="false">
      <c r="A138" s="8" t="s">
        <v>33</v>
      </c>
      <c r="B138" s="8" t="s">
        <v>85</v>
      </c>
      <c r="C138" s="8" t="s">
        <v>111</v>
      </c>
      <c r="D138" s="9" t="s">
        <v>455</v>
      </c>
      <c r="E138" s="8" t="s">
        <v>279</v>
      </c>
      <c r="F138" s="8" t="s">
        <v>412</v>
      </c>
      <c r="G138" s="8" t="s">
        <v>431</v>
      </c>
      <c r="H138" s="8" t="s">
        <v>88</v>
      </c>
      <c r="I138" s="10" t="s">
        <v>23</v>
      </c>
      <c r="J138" s="8" t="s">
        <v>456</v>
      </c>
      <c r="K138" s="11" t="s">
        <v>47</v>
      </c>
      <c r="L138" s="8"/>
      <c r="M138" s="12"/>
      <c r="N138" s="9" t="s">
        <v>380</v>
      </c>
      <c r="O138" s="9"/>
      <c r="P138" s="13"/>
      <c r="Q138" s="14"/>
    </row>
    <row r="139" customFormat="false" ht="15" hidden="false" customHeight="false" outlineLevel="0" collapsed="false">
      <c r="A139" s="8" t="s">
        <v>33</v>
      </c>
      <c r="B139" s="8" t="s">
        <v>54</v>
      </c>
      <c r="C139" s="8" t="s">
        <v>127</v>
      </c>
      <c r="D139" s="9" t="s">
        <v>457</v>
      </c>
      <c r="E139" s="8" t="s">
        <v>279</v>
      </c>
      <c r="F139" s="8" t="s">
        <v>412</v>
      </c>
      <c r="G139" s="8" t="s">
        <v>413</v>
      </c>
      <c r="H139" s="8" t="s">
        <v>60</v>
      </c>
      <c r="I139" s="10" t="s">
        <v>23</v>
      </c>
      <c r="J139" s="8" t="s">
        <v>458</v>
      </c>
      <c r="K139" s="11" t="s">
        <v>47</v>
      </c>
      <c r="L139" s="8"/>
      <c r="M139" s="12"/>
      <c r="N139" s="9" t="s">
        <v>459</v>
      </c>
      <c r="O139" s="9"/>
      <c r="P139" s="13"/>
      <c r="Q139" s="14"/>
    </row>
    <row r="140" customFormat="false" ht="15" hidden="false" customHeight="false" outlineLevel="0" collapsed="false">
      <c r="A140" s="8" t="s">
        <v>33</v>
      </c>
      <c r="B140" s="8" t="s">
        <v>63</v>
      </c>
      <c r="C140" s="8" t="s">
        <v>127</v>
      </c>
      <c r="D140" s="9" t="s">
        <v>460</v>
      </c>
      <c r="E140" s="8" t="s">
        <v>279</v>
      </c>
      <c r="F140" s="8" t="s">
        <v>412</v>
      </c>
      <c r="G140" s="8" t="s">
        <v>417</v>
      </c>
      <c r="H140" s="8" t="s">
        <v>60</v>
      </c>
      <c r="I140" s="10" t="s">
        <v>23</v>
      </c>
      <c r="J140" s="8" t="s">
        <v>461</v>
      </c>
      <c r="K140" s="11" t="s">
        <v>47</v>
      </c>
      <c r="L140" s="8"/>
      <c r="M140" s="12"/>
      <c r="N140" s="9" t="s">
        <v>462</v>
      </c>
      <c r="O140" s="9"/>
      <c r="P140" s="13"/>
      <c r="Q140" s="14"/>
    </row>
    <row r="141" customFormat="false" ht="15" hidden="false" customHeight="false" outlineLevel="0" collapsed="false">
      <c r="A141" s="8" t="s">
        <v>33</v>
      </c>
      <c r="B141" s="8" t="s">
        <v>69</v>
      </c>
      <c r="C141" s="8" t="s">
        <v>127</v>
      </c>
      <c r="D141" s="9" t="s">
        <v>463</v>
      </c>
      <c r="E141" s="8" t="s">
        <v>279</v>
      </c>
      <c r="F141" s="8" t="s">
        <v>412</v>
      </c>
      <c r="G141" s="8" t="s">
        <v>420</v>
      </c>
      <c r="H141" s="8" t="s">
        <v>60</v>
      </c>
      <c r="I141" s="10" t="s">
        <v>23</v>
      </c>
      <c r="J141" s="8" t="s">
        <v>464</v>
      </c>
      <c r="K141" s="11" t="s">
        <v>47</v>
      </c>
      <c r="L141" s="8"/>
      <c r="M141" s="12"/>
      <c r="N141" s="9" t="s">
        <v>73</v>
      </c>
      <c r="O141" s="9"/>
      <c r="P141" s="13"/>
      <c r="Q141" s="14"/>
    </row>
    <row r="142" customFormat="false" ht="15" hidden="false" customHeight="false" outlineLevel="0" collapsed="false">
      <c r="A142" s="8" t="s">
        <v>33</v>
      </c>
      <c r="B142" s="8" t="s">
        <v>74</v>
      </c>
      <c r="C142" s="8" t="s">
        <v>127</v>
      </c>
      <c r="D142" s="9" t="s">
        <v>465</v>
      </c>
      <c r="E142" s="8" t="s">
        <v>279</v>
      </c>
      <c r="F142" s="8" t="s">
        <v>412</v>
      </c>
      <c r="G142" s="8" t="s">
        <v>424</v>
      </c>
      <c r="H142" s="8" t="s">
        <v>60</v>
      </c>
      <c r="I142" s="10" t="s">
        <v>23</v>
      </c>
      <c r="J142" s="8" t="s">
        <v>466</v>
      </c>
      <c r="K142" s="11" t="s">
        <v>47</v>
      </c>
      <c r="L142" s="8"/>
      <c r="M142" s="12"/>
      <c r="N142" s="9" t="s">
        <v>467</v>
      </c>
      <c r="O142" s="9"/>
      <c r="P142" s="13"/>
      <c r="Q142" s="14"/>
    </row>
    <row r="143" customFormat="false" ht="22.35" hidden="false" customHeight="false" outlineLevel="0" collapsed="false">
      <c r="A143" s="8" t="s">
        <v>33</v>
      </c>
      <c r="B143" s="8" t="s">
        <v>80</v>
      </c>
      <c r="C143" s="8" t="s">
        <v>127</v>
      </c>
      <c r="D143" s="9" t="s">
        <v>428</v>
      </c>
      <c r="E143" s="8" t="s">
        <v>279</v>
      </c>
      <c r="F143" s="8" t="s">
        <v>412</v>
      </c>
      <c r="G143" s="8" t="s">
        <v>424</v>
      </c>
      <c r="H143" s="8" t="s">
        <v>60</v>
      </c>
      <c r="I143" s="15" t="s">
        <v>25</v>
      </c>
      <c r="J143" s="8" t="s">
        <v>468</v>
      </c>
      <c r="K143" s="11" t="s">
        <v>47</v>
      </c>
      <c r="L143" s="8"/>
      <c r="M143" s="12"/>
      <c r="N143" s="9" t="s">
        <v>469</v>
      </c>
      <c r="O143" s="9" t="s">
        <v>427</v>
      </c>
      <c r="P143" s="13"/>
      <c r="Q143" s="14"/>
    </row>
    <row r="144" customFormat="false" ht="15" hidden="false" customHeight="false" outlineLevel="0" collapsed="false">
      <c r="A144" s="8" t="s">
        <v>33</v>
      </c>
      <c r="B144" s="8" t="s">
        <v>85</v>
      </c>
      <c r="C144" s="8" t="s">
        <v>127</v>
      </c>
      <c r="D144" s="9" t="s">
        <v>455</v>
      </c>
      <c r="E144" s="8" t="s">
        <v>279</v>
      </c>
      <c r="F144" s="8" t="s">
        <v>412</v>
      </c>
      <c r="G144" s="8" t="s">
        <v>431</v>
      </c>
      <c r="H144" s="8" t="s">
        <v>88</v>
      </c>
      <c r="I144" s="10" t="s">
        <v>23</v>
      </c>
      <c r="J144" s="8" t="s">
        <v>456</v>
      </c>
      <c r="K144" s="11" t="s">
        <v>47</v>
      </c>
      <c r="L144" s="8"/>
      <c r="M144" s="12"/>
      <c r="N144" s="9" t="s">
        <v>380</v>
      </c>
      <c r="O144" s="9"/>
      <c r="P144" s="13"/>
      <c r="Q144" s="14"/>
    </row>
    <row r="145" customFormat="false" ht="15" hidden="false" customHeight="false" outlineLevel="0" collapsed="false">
      <c r="A145" s="8" t="s">
        <v>34</v>
      </c>
      <c r="B145" s="8" t="s">
        <v>54</v>
      </c>
      <c r="C145" s="8" t="s">
        <v>55</v>
      </c>
      <c r="D145" s="9" t="s">
        <v>470</v>
      </c>
      <c r="E145" s="8" t="s">
        <v>471</v>
      </c>
      <c r="F145" s="8" t="s">
        <v>472</v>
      </c>
      <c r="G145" s="8" t="s">
        <v>473</v>
      </c>
      <c r="H145" s="8" t="s">
        <v>60</v>
      </c>
      <c r="I145" s="10" t="s">
        <v>23</v>
      </c>
      <c r="J145" s="8" t="s">
        <v>474</v>
      </c>
      <c r="K145" s="11" t="s">
        <v>47</v>
      </c>
      <c r="L145" s="8"/>
      <c r="M145" s="12"/>
      <c r="N145" s="9" t="s">
        <v>73</v>
      </c>
      <c r="O145" s="9"/>
      <c r="P145" s="13"/>
      <c r="Q145" s="14"/>
    </row>
    <row r="146" customFormat="false" ht="22.35" hidden="false" customHeight="false" outlineLevel="0" collapsed="false">
      <c r="A146" s="8" t="s">
        <v>34</v>
      </c>
      <c r="B146" s="8" t="s">
        <v>63</v>
      </c>
      <c r="C146" s="8" t="s">
        <v>55</v>
      </c>
      <c r="D146" s="9" t="s">
        <v>475</v>
      </c>
      <c r="E146" s="8" t="s">
        <v>471</v>
      </c>
      <c r="F146" s="8" t="s">
        <v>472</v>
      </c>
      <c r="G146" s="8" t="s">
        <v>476</v>
      </c>
      <c r="H146" s="8" t="s">
        <v>60</v>
      </c>
      <c r="I146" s="16" t="s">
        <v>26</v>
      </c>
      <c r="J146" s="8" t="s">
        <v>477</v>
      </c>
      <c r="K146" s="11" t="s">
        <v>47</v>
      </c>
      <c r="L146" s="8"/>
      <c r="M146" s="12"/>
      <c r="N146" s="9" t="s">
        <v>84</v>
      </c>
      <c r="O146" s="9"/>
      <c r="P146" s="13"/>
      <c r="Q146" s="14"/>
    </row>
    <row r="147" customFormat="false" ht="15" hidden="false" customHeight="false" outlineLevel="0" collapsed="false">
      <c r="A147" s="8" t="s">
        <v>34</v>
      </c>
      <c r="B147" s="8" t="s">
        <v>69</v>
      </c>
      <c r="C147" s="8" t="s">
        <v>55</v>
      </c>
      <c r="D147" s="9" t="s">
        <v>478</v>
      </c>
      <c r="E147" s="8" t="s">
        <v>471</v>
      </c>
      <c r="F147" s="8" t="s">
        <v>472</v>
      </c>
      <c r="G147" s="8" t="s">
        <v>479</v>
      </c>
      <c r="H147" s="8" t="s">
        <v>60</v>
      </c>
      <c r="I147" s="10" t="s">
        <v>23</v>
      </c>
      <c r="J147" s="8" t="s">
        <v>480</v>
      </c>
      <c r="K147" s="11" t="s">
        <v>47</v>
      </c>
      <c r="L147" s="8"/>
      <c r="M147" s="12"/>
      <c r="N147" s="9" t="s">
        <v>481</v>
      </c>
      <c r="O147" s="9"/>
      <c r="P147" s="13"/>
      <c r="Q147" s="14"/>
    </row>
    <row r="148" customFormat="false" ht="15" hidden="false" customHeight="false" outlineLevel="0" collapsed="false">
      <c r="A148" s="8" t="s">
        <v>34</v>
      </c>
      <c r="B148" s="8" t="s">
        <v>74</v>
      </c>
      <c r="C148" s="8" t="s">
        <v>55</v>
      </c>
      <c r="D148" s="9" t="s">
        <v>482</v>
      </c>
      <c r="E148" s="8" t="s">
        <v>471</v>
      </c>
      <c r="F148" s="8" t="s">
        <v>472</v>
      </c>
      <c r="G148" s="8" t="s">
        <v>473</v>
      </c>
      <c r="H148" s="8" t="s">
        <v>60</v>
      </c>
      <c r="I148" s="10" t="s">
        <v>23</v>
      </c>
      <c r="J148" s="8" t="s">
        <v>483</v>
      </c>
      <c r="K148" s="11" t="s">
        <v>47</v>
      </c>
      <c r="L148" s="8"/>
      <c r="M148" s="12"/>
      <c r="N148" s="9" t="s">
        <v>68</v>
      </c>
      <c r="O148" s="9"/>
      <c r="P148" s="13"/>
      <c r="Q148" s="14"/>
    </row>
    <row r="149" customFormat="false" ht="22.35" hidden="false" customHeight="false" outlineLevel="0" collapsed="false">
      <c r="A149" s="8" t="s">
        <v>34</v>
      </c>
      <c r="B149" s="8" t="s">
        <v>80</v>
      </c>
      <c r="C149" s="8" t="s">
        <v>55</v>
      </c>
      <c r="D149" s="9" t="s">
        <v>484</v>
      </c>
      <c r="E149" s="8" t="s">
        <v>471</v>
      </c>
      <c r="F149" s="8" t="s">
        <v>472</v>
      </c>
      <c r="G149" s="8" t="s">
        <v>479</v>
      </c>
      <c r="H149" s="8" t="s">
        <v>60</v>
      </c>
      <c r="I149" s="16" t="s">
        <v>26</v>
      </c>
      <c r="J149" s="8" t="s">
        <v>485</v>
      </c>
      <c r="K149" s="11" t="s">
        <v>47</v>
      </c>
      <c r="L149" s="8"/>
      <c r="M149" s="12"/>
      <c r="N149" s="9" t="s">
        <v>84</v>
      </c>
      <c r="O149" s="9"/>
      <c r="P149" s="13"/>
      <c r="Q149" s="14"/>
    </row>
    <row r="150" customFormat="false" ht="15" hidden="false" customHeight="false" outlineLevel="0" collapsed="false">
      <c r="A150" s="8" t="s">
        <v>34</v>
      </c>
      <c r="B150" s="8" t="s">
        <v>85</v>
      </c>
      <c r="C150" s="8" t="s">
        <v>55</v>
      </c>
      <c r="D150" s="9" t="s">
        <v>486</v>
      </c>
      <c r="E150" s="8" t="s">
        <v>471</v>
      </c>
      <c r="F150" s="8" t="s">
        <v>472</v>
      </c>
      <c r="G150" s="8" t="s">
        <v>476</v>
      </c>
      <c r="H150" s="8" t="s">
        <v>60</v>
      </c>
      <c r="I150" s="10" t="s">
        <v>23</v>
      </c>
      <c r="J150" s="8" t="s">
        <v>487</v>
      </c>
      <c r="K150" s="11" t="s">
        <v>47</v>
      </c>
      <c r="L150" s="8"/>
      <c r="M150" s="12"/>
      <c r="N150" s="9" t="s">
        <v>488</v>
      </c>
      <c r="O150" s="9"/>
      <c r="P150" s="13"/>
      <c r="Q150" s="14"/>
    </row>
    <row r="151" customFormat="false" ht="22.35" hidden="false" customHeight="false" outlineLevel="0" collapsed="false">
      <c r="A151" s="8" t="s">
        <v>34</v>
      </c>
      <c r="B151" s="8" t="s">
        <v>54</v>
      </c>
      <c r="C151" s="8" t="s">
        <v>90</v>
      </c>
      <c r="D151" s="9" t="s">
        <v>489</v>
      </c>
      <c r="E151" s="8" t="s">
        <v>471</v>
      </c>
      <c r="F151" s="8" t="s">
        <v>472</v>
      </c>
      <c r="G151" s="8" t="s">
        <v>473</v>
      </c>
      <c r="H151" s="8" t="s">
        <v>60</v>
      </c>
      <c r="I151" s="15" t="s">
        <v>25</v>
      </c>
      <c r="J151" s="8" t="s">
        <v>490</v>
      </c>
      <c r="K151" s="11" t="s">
        <v>47</v>
      </c>
      <c r="L151" s="8"/>
      <c r="M151" s="12"/>
      <c r="N151" s="9" t="s">
        <v>491</v>
      </c>
      <c r="O151" s="9" t="s">
        <v>492</v>
      </c>
      <c r="P151" s="13"/>
      <c r="Q151" s="14"/>
    </row>
    <row r="152" customFormat="false" ht="22.35" hidden="false" customHeight="false" outlineLevel="0" collapsed="false">
      <c r="A152" s="8" t="s">
        <v>34</v>
      </c>
      <c r="B152" s="8" t="s">
        <v>63</v>
      </c>
      <c r="C152" s="8" t="s">
        <v>90</v>
      </c>
      <c r="D152" s="9" t="s">
        <v>493</v>
      </c>
      <c r="E152" s="8" t="s">
        <v>471</v>
      </c>
      <c r="F152" s="8" t="s">
        <v>472</v>
      </c>
      <c r="G152" s="8" t="s">
        <v>476</v>
      </c>
      <c r="H152" s="8" t="s">
        <v>60</v>
      </c>
      <c r="I152" s="16" t="s">
        <v>26</v>
      </c>
      <c r="J152" s="8" t="s">
        <v>494</v>
      </c>
      <c r="K152" s="11" t="s">
        <v>47</v>
      </c>
      <c r="L152" s="8"/>
      <c r="M152" s="12"/>
      <c r="N152" s="9" t="s">
        <v>84</v>
      </c>
      <c r="O152" s="9"/>
      <c r="P152" s="13"/>
      <c r="Q152" s="14"/>
    </row>
    <row r="153" customFormat="false" ht="15" hidden="false" customHeight="false" outlineLevel="0" collapsed="false">
      <c r="A153" s="8" t="s">
        <v>34</v>
      </c>
      <c r="B153" s="8" t="s">
        <v>69</v>
      </c>
      <c r="C153" s="8" t="s">
        <v>90</v>
      </c>
      <c r="D153" s="9" t="s">
        <v>495</v>
      </c>
      <c r="E153" s="8" t="s">
        <v>471</v>
      </c>
      <c r="F153" s="8" t="s">
        <v>472</v>
      </c>
      <c r="G153" s="8" t="s">
        <v>479</v>
      </c>
      <c r="H153" s="8" t="s">
        <v>60</v>
      </c>
      <c r="I153" s="10" t="s">
        <v>23</v>
      </c>
      <c r="J153" s="8" t="s">
        <v>496</v>
      </c>
      <c r="K153" s="11" t="s">
        <v>47</v>
      </c>
      <c r="L153" s="8"/>
      <c r="M153" s="12"/>
      <c r="N153" s="9" t="s">
        <v>497</v>
      </c>
      <c r="O153" s="9"/>
      <c r="P153" s="13"/>
      <c r="Q153" s="14"/>
    </row>
    <row r="154" customFormat="false" ht="15" hidden="false" customHeight="false" outlineLevel="0" collapsed="false">
      <c r="A154" s="8" t="s">
        <v>34</v>
      </c>
      <c r="B154" s="8" t="s">
        <v>74</v>
      </c>
      <c r="C154" s="8" t="s">
        <v>90</v>
      </c>
      <c r="D154" s="9" t="s">
        <v>498</v>
      </c>
      <c r="E154" s="8" t="s">
        <v>471</v>
      </c>
      <c r="F154" s="8" t="s">
        <v>472</v>
      </c>
      <c r="G154" s="8" t="s">
        <v>473</v>
      </c>
      <c r="H154" s="8" t="s">
        <v>60</v>
      </c>
      <c r="I154" s="10" t="s">
        <v>23</v>
      </c>
      <c r="J154" s="8" t="s">
        <v>499</v>
      </c>
      <c r="K154" s="11" t="s">
        <v>47</v>
      </c>
      <c r="L154" s="8"/>
      <c r="M154" s="12"/>
      <c r="N154" s="9" t="s">
        <v>68</v>
      </c>
      <c r="O154" s="9"/>
      <c r="P154" s="13"/>
      <c r="Q154" s="14"/>
    </row>
    <row r="155" customFormat="false" ht="22.35" hidden="false" customHeight="false" outlineLevel="0" collapsed="false">
      <c r="A155" s="8" t="s">
        <v>34</v>
      </c>
      <c r="B155" s="8" t="s">
        <v>80</v>
      </c>
      <c r="C155" s="8" t="s">
        <v>90</v>
      </c>
      <c r="D155" s="9" t="s">
        <v>500</v>
      </c>
      <c r="E155" s="8" t="s">
        <v>471</v>
      </c>
      <c r="F155" s="8" t="s">
        <v>472</v>
      </c>
      <c r="G155" s="8" t="s">
        <v>479</v>
      </c>
      <c r="H155" s="8" t="s">
        <v>60</v>
      </c>
      <c r="I155" s="16" t="s">
        <v>26</v>
      </c>
      <c r="J155" s="8" t="s">
        <v>501</v>
      </c>
      <c r="K155" s="11" t="s">
        <v>47</v>
      </c>
      <c r="L155" s="8"/>
      <c r="M155" s="12"/>
      <c r="N155" s="9" t="s">
        <v>84</v>
      </c>
      <c r="O155" s="9"/>
      <c r="P155" s="13"/>
      <c r="Q155" s="14"/>
    </row>
    <row r="156" customFormat="false" ht="22.35" hidden="false" customHeight="false" outlineLevel="0" collapsed="false">
      <c r="A156" s="8" t="s">
        <v>34</v>
      </c>
      <c r="B156" s="8" t="s">
        <v>85</v>
      </c>
      <c r="C156" s="8" t="s">
        <v>90</v>
      </c>
      <c r="D156" s="9" t="s">
        <v>502</v>
      </c>
      <c r="E156" s="8" t="s">
        <v>471</v>
      </c>
      <c r="F156" s="8" t="s">
        <v>472</v>
      </c>
      <c r="G156" s="8" t="s">
        <v>476</v>
      </c>
      <c r="H156" s="8" t="s">
        <v>60</v>
      </c>
      <c r="I156" s="16" t="s">
        <v>26</v>
      </c>
      <c r="J156" s="8" t="s">
        <v>503</v>
      </c>
      <c r="K156" s="11" t="s">
        <v>47</v>
      </c>
      <c r="L156" s="8"/>
      <c r="M156" s="12"/>
      <c r="N156" s="9" t="s">
        <v>84</v>
      </c>
      <c r="O156" s="9"/>
      <c r="P156" s="13"/>
      <c r="Q156" s="14"/>
    </row>
    <row r="157" customFormat="false" ht="15" hidden="false" customHeight="false" outlineLevel="0" collapsed="false">
      <c r="A157" s="8" t="s">
        <v>34</v>
      </c>
      <c r="B157" s="8" t="s">
        <v>54</v>
      </c>
      <c r="C157" s="8" t="s">
        <v>111</v>
      </c>
      <c r="D157" s="9" t="s">
        <v>504</v>
      </c>
      <c r="E157" s="8" t="s">
        <v>471</v>
      </c>
      <c r="F157" s="8" t="s">
        <v>472</v>
      </c>
      <c r="G157" s="8" t="s">
        <v>473</v>
      </c>
      <c r="H157" s="8" t="s">
        <v>60</v>
      </c>
      <c r="I157" s="10" t="s">
        <v>23</v>
      </c>
      <c r="J157" s="8" t="s">
        <v>505</v>
      </c>
      <c r="K157" s="11" t="s">
        <v>47</v>
      </c>
      <c r="L157" s="8"/>
      <c r="M157" s="12"/>
      <c r="N157" s="9" t="s">
        <v>68</v>
      </c>
      <c r="O157" s="9"/>
      <c r="P157" s="13"/>
      <c r="Q157" s="14"/>
    </row>
    <row r="158" customFormat="false" ht="15" hidden="false" customHeight="false" outlineLevel="0" collapsed="false">
      <c r="A158" s="8" t="s">
        <v>34</v>
      </c>
      <c r="B158" s="8" t="s">
        <v>63</v>
      </c>
      <c r="C158" s="8" t="s">
        <v>111</v>
      </c>
      <c r="D158" s="9" t="s">
        <v>506</v>
      </c>
      <c r="E158" s="8" t="s">
        <v>471</v>
      </c>
      <c r="F158" s="8" t="s">
        <v>472</v>
      </c>
      <c r="G158" s="8" t="s">
        <v>476</v>
      </c>
      <c r="H158" s="8" t="s">
        <v>60</v>
      </c>
      <c r="I158" s="10" t="s">
        <v>23</v>
      </c>
      <c r="J158" s="8" t="s">
        <v>507</v>
      </c>
      <c r="K158" s="11" t="s">
        <v>47</v>
      </c>
      <c r="L158" s="8"/>
      <c r="M158" s="12"/>
      <c r="N158" s="9" t="s">
        <v>508</v>
      </c>
      <c r="O158" s="9"/>
      <c r="P158" s="13"/>
      <c r="Q158" s="14"/>
    </row>
    <row r="159" customFormat="false" ht="15" hidden="false" customHeight="false" outlineLevel="0" collapsed="false">
      <c r="A159" s="8" t="s">
        <v>34</v>
      </c>
      <c r="B159" s="8" t="s">
        <v>69</v>
      </c>
      <c r="C159" s="8" t="s">
        <v>111</v>
      </c>
      <c r="D159" s="9" t="s">
        <v>509</v>
      </c>
      <c r="E159" s="8" t="s">
        <v>471</v>
      </c>
      <c r="F159" s="8" t="s">
        <v>472</v>
      </c>
      <c r="G159" s="8" t="s">
        <v>479</v>
      </c>
      <c r="H159" s="8" t="s">
        <v>60</v>
      </c>
      <c r="I159" s="10" t="s">
        <v>23</v>
      </c>
      <c r="J159" s="8" t="s">
        <v>510</v>
      </c>
      <c r="K159" s="11" t="s">
        <v>47</v>
      </c>
      <c r="L159" s="8"/>
      <c r="M159" s="12"/>
      <c r="N159" s="9" t="s">
        <v>511</v>
      </c>
      <c r="O159" s="9"/>
      <c r="P159" s="13"/>
      <c r="Q159" s="14"/>
    </row>
    <row r="160" customFormat="false" ht="15" hidden="false" customHeight="false" outlineLevel="0" collapsed="false">
      <c r="A160" s="8" t="s">
        <v>34</v>
      </c>
      <c r="B160" s="8" t="s">
        <v>74</v>
      </c>
      <c r="C160" s="8" t="s">
        <v>111</v>
      </c>
      <c r="D160" s="9" t="s">
        <v>512</v>
      </c>
      <c r="E160" s="8" t="s">
        <v>471</v>
      </c>
      <c r="F160" s="8" t="s">
        <v>472</v>
      </c>
      <c r="G160" s="8" t="s">
        <v>473</v>
      </c>
      <c r="H160" s="8" t="s">
        <v>60</v>
      </c>
      <c r="I160" s="15" t="s">
        <v>25</v>
      </c>
      <c r="J160" s="8" t="s">
        <v>513</v>
      </c>
      <c r="K160" s="11" t="s">
        <v>47</v>
      </c>
      <c r="L160" s="8"/>
      <c r="M160" s="12"/>
      <c r="N160" s="9" t="s">
        <v>514</v>
      </c>
      <c r="O160" s="9"/>
      <c r="P160" s="13"/>
      <c r="Q160" s="14"/>
    </row>
    <row r="161" customFormat="false" ht="22.35" hidden="false" customHeight="false" outlineLevel="0" collapsed="false">
      <c r="A161" s="8" t="s">
        <v>34</v>
      </c>
      <c r="B161" s="8" t="s">
        <v>80</v>
      </c>
      <c r="C161" s="8" t="s">
        <v>111</v>
      </c>
      <c r="D161" s="9" t="s">
        <v>515</v>
      </c>
      <c r="E161" s="8" t="s">
        <v>471</v>
      </c>
      <c r="F161" s="8" t="s">
        <v>472</v>
      </c>
      <c r="G161" s="8" t="s">
        <v>479</v>
      </c>
      <c r="H161" s="8" t="s">
        <v>60</v>
      </c>
      <c r="I161" s="15" t="s">
        <v>25</v>
      </c>
      <c r="J161" s="8" t="s">
        <v>516</v>
      </c>
      <c r="K161" s="11" t="s">
        <v>47</v>
      </c>
      <c r="L161" s="8"/>
      <c r="M161" s="12"/>
      <c r="N161" s="9" t="s">
        <v>517</v>
      </c>
      <c r="O161" s="9" t="s">
        <v>518</v>
      </c>
      <c r="P161" s="13"/>
      <c r="Q161" s="14"/>
    </row>
    <row r="162" customFormat="false" ht="22.35" hidden="false" customHeight="false" outlineLevel="0" collapsed="false">
      <c r="A162" s="8" t="s">
        <v>34</v>
      </c>
      <c r="B162" s="8" t="s">
        <v>85</v>
      </c>
      <c r="C162" s="8" t="s">
        <v>111</v>
      </c>
      <c r="D162" s="9" t="s">
        <v>519</v>
      </c>
      <c r="E162" s="8" t="s">
        <v>471</v>
      </c>
      <c r="F162" s="8" t="s">
        <v>472</v>
      </c>
      <c r="G162" s="8" t="s">
        <v>476</v>
      </c>
      <c r="H162" s="8" t="s">
        <v>60</v>
      </c>
      <c r="I162" s="15" t="s">
        <v>25</v>
      </c>
      <c r="J162" s="8" t="s">
        <v>520</v>
      </c>
      <c r="K162" s="11" t="s">
        <v>47</v>
      </c>
      <c r="L162" s="8"/>
      <c r="M162" s="12"/>
      <c r="N162" s="9" t="s">
        <v>521</v>
      </c>
      <c r="O162" s="9" t="s">
        <v>522</v>
      </c>
      <c r="P162" s="13"/>
      <c r="Q162" s="14"/>
    </row>
    <row r="163" customFormat="false" ht="22.35" hidden="false" customHeight="false" outlineLevel="0" collapsed="false">
      <c r="A163" s="8" t="s">
        <v>34</v>
      </c>
      <c r="B163" s="8" t="s">
        <v>54</v>
      </c>
      <c r="C163" s="8" t="s">
        <v>127</v>
      </c>
      <c r="D163" s="9" t="s">
        <v>523</v>
      </c>
      <c r="E163" s="8" t="s">
        <v>471</v>
      </c>
      <c r="F163" s="8" t="s">
        <v>472</v>
      </c>
      <c r="G163" s="8" t="s">
        <v>473</v>
      </c>
      <c r="H163" s="8" t="s">
        <v>60</v>
      </c>
      <c r="I163" s="16" t="s">
        <v>26</v>
      </c>
      <c r="J163" s="8" t="s">
        <v>524</v>
      </c>
      <c r="K163" s="11" t="s">
        <v>47</v>
      </c>
      <c r="L163" s="8"/>
      <c r="M163" s="12"/>
      <c r="N163" s="9" t="s">
        <v>84</v>
      </c>
      <c r="O163" s="9"/>
      <c r="P163" s="13"/>
      <c r="Q163" s="14"/>
    </row>
    <row r="164" customFormat="false" ht="22.35" hidden="false" customHeight="false" outlineLevel="0" collapsed="false">
      <c r="A164" s="8" t="s">
        <v>34</v>
      </c>
      <c r="B164" s="8" t="s">
        <v>63</v>
      </c>
      <c r="C164" s="8" t="s">
        <v>127</v>
      </c>
      <c r="D164" s="9" t="s">
        <v>525</v>
      </c>
      <c r="E164" s="8" t="s">
        <v>471</v>
      </c>
      <c r="F164" s="8" t="s">
        <v>472</v>
      </c>
      <c r="G164" s="8" t="s">
        <v>476</v>
      </c>
      <c r="H164" s="8" t="s">
        <v>60</v>
      </c>
      <c r="I164" s="16" t="s">
        <v>26</v>
      </c>
      <c r="J164" s="8" t="s">
        <v>526</v>
      </c>
      <c r="K164" s="11" t="s">
        <v>47</v>
      </c>
      <c r="L164" s="8"/>
      <c r="M164" s="12"/>
      <c r="N164" s="9" t="s">
        <v>84</v>
      </c>
      <c r="O164" s="9"/>
      <c r="P164" s="13"/>
      <c r="Q164" s="14"/>
    </row>
    <row r="165" customFormat="false" ht="15" hidden="false" customHeight="false" outlineLevel="0" collapsed="false">
      <c r="A165" s="8" t="s">
        <v>34</v>
      </c>
      <c r="B165" s="8" t="s">
        <v>69</v>
      </c>
      <c r="C165" s="8" t="s">
        <v>127</v>
      </c>
      <c r="D165" s="9" t="s">
        <v>527</v>
      </c>
      <c r="E165" s="8" t="s">
        <v>471</v>
      </c>
      <c r="F165" s="8" t="s">
        <v>472</v>
      </c>
      <c r="G165" s="8" t="s">
        <v>479</v>
      </c>
      <c r="H165" s="8" t="s">
        <v>60</v>
      </c>
      <c r="I165" s="10" t="s">
        <v>23</v>
      </c>
      <c r="J165" s="8" t="s">
        <v>528</v>
      </c>
      <c r="K165" s="11" t="s">
        <v>47</v>
      </c>
      <c r="L165" s="8"/>
      <c r="M165" s="12"/>
      <c r="N165" s="9" t="s">
        <v>529</v>
      </c>
      <c r="O165" s="9"/>
      <c r="P165" s="13"/>
      <c r="Q165" s="14"/>
    </row>
    <row r="166" customFormat="false" ht="15" hidden="false" customHeight="false" outlineLevel="0" collapsed="false">
      <c r="A166" s="8" t="s">
        <v>34</v>
      </c>
      <c r="B166" s="8" t="s">
        <v>74</v>
      </c>
      <c r="C166" s="8" t="s">
        <v>127</v>
      </c>
      <c r="D166" s="9" t="s">
        <v>530</v>
      </c>
      <c r="E166" s="8" t="s">
        <v>471</v>
      </c>
      <c r="F166" s="8" t="s">
        <v>472</v>
      </c>
      <c r="G166" s="8" t="s">
        <v>473</v>
      </c>
      <c r="H166" s="8" t="s">
        <v>60</v>
      </c>
      <c r="I166" s="10" t="s">
        <v>23</v>
      </c>
      <c r="J166" s="8" t="s">
        <v>531</v>
      </c>
      <c r="K166" s="11" t="s">
        <v>47</v>
      </c>
      <c r="L166" s="8"/>
      <c r="M166" s="12"/>
      <c r="N166" s="9" t="s">
        <v>73</v>
      </c>
      <c r="O166" s="9"/>
      <c r="P166" s="13"/>
      <c r="Q166" s="14"/>
    </row>
    <row r="167" customFormat="false" ht="15" hidden="false" customHeight="false" outlineLevel="0" collapsed="false">
      <c r="A167" s="8" t="s">
        <v>34</v>
      </c>
      <c r="B167" s="8" t="s">
        <v>80</v>
      </c>
      <c r="C167" s="8" t="s">
        <v>127</v>
      </c>
      <c r="D167" s="9" t="s">
        <v>532</v>
      </c>
      <c r="E167" s="8" t="s">
        <v>471</v>
      </c>
      <c r="F167" s="8" t="s">
        <v>472</v>
      </c>
      <c r="G167" s="8" t="s">
        <v>479</v>
      </c>
      <c r="H167" s="8" t="s">
        <v>60</v>
      </c>
      <c r="I167" s="10" t="s">
        <v>23</v>
      </c>
      <c r="J167" s="8" t="s">
        <v>533</v>
      </c>
      <c r="K167" s="11" t="s">
        <v>47</v>
      </c>
      <c r="L167" s="8"/>
      <c r="M167" s="12"/>
      <c r="N167" s="9" t="s">
        <v>534</v>
      </c>
      <c r="O167" s="9"/>
      <c r="P167" s="13"/>
      <c r="Q167" s="14"/>
    </row>
    <row r="168" customFormat="false" ht="15" hidden="false" customHeight="false" outlineLevel="0" collapsed="false">
      <c r="A168" s="8" t="s">
        <v>34</v>
      </c>
      <c r="B168" s="8" t="s">
        <v>85</v>
      </c>
      <c r="C168" s="8" t="s">
        <v>127</v>
      </c>
      <c r="D168" s="9" t="s">
        <v>535</v>
      </c>
      <c r="E168" s="8" t="s">
        <v>471</v>
      </c>
      <c r="F168" s="8" t="s">
        <v>472</v>
      </c>
      <c r="G168" s="8" t="s">
        <v>476</v>
      </c>
      <c r="H168" s="8" t="s">
        <v>60</v>
      </c>
      <c r="I168" s="10" t="s">
        <v>23</v>
      </c>
      <c r="J168" s="8" t="s">
        <v>536</v>
      </c>
      <c r="K168" s="11" t="s">
        <v>47</v>
      </c>
      <c r="L168" s="8"/>
      <c r="M168" s="12"/>
      <c r="N168" s="9" t="s">
        <v>537</v>
      </c>
      <c r="O168" s="9"/>
      <c r="P168" s="13"/>
      <c r="Q168" s="14"/>
    </row>
    <row r="169" customFormat="false" ht="15" hidden="false" customHeight="false" outlineLevel="0" collapsed="false">
      <c r="A169" s="8" t="s">
        <v>35</v>
      </c>
      <c r="B169" s="8" t="s">
        <v>54</v>
      </c>
      <c r="C169" s="8" t="s">
        <v>55</v>
      </c>
      <c r="D169" s="9" t="s">
        <v>538</v>
      </c>
      <c r="E169" s="8" t="s">
        <v>471</v>
      </c>
      <c r="F169" s="8" t="s">
        <v>472</v>
      </c>
      <c r="G169" s="8" t="s">
        <v>539</v>
      </c>
      <c r="H169" s="8" t="s">
        <v>60</v>
      </c>
      <c r="I169" s="10" t="s">
        <v>23</v>
      </c>
      <c r="J169" s="8" t="s">
        <v>540</v>
      </c>
      <c r="K169" s="11" t="s">
        <v>47</v>
      </c>
      <c r="L169" s="8"/>
      <c r="M169" s="12"/>
      <c r="N169" s="9" t="s">
        <v>68</v>
      </c>
      <c r="O169" s="9"/>
      <c r="P169" s="13"/>
      <c r="Q169" s="14"/>
    </row>
    <row r="170" customFormat="false" ht="15" hidden="false" customHeight="false" outlineLevel="0" collapsed="false">
      <c r="A170" s="8" t="s">
        <v>35</v>
      </c>
      <c r="B170" s="8" t="s">
        <v>63</v>
      </c>
      <c r="C170" s="8" t="s">
        <v>55</v>
      </c>
      <c r="D170" s="9" t="s">
        <v>541</v>
      </c>
      <c r="E170" s="8" t="s">
        <v>471</v>
      </c>
      <c r="F170" s="8" t="s">
        <v>472</v>
      </c>
      <c r="G170" s="8" t="s">
        <v>542</v>
      </c>
      <c r="H170" s="8" t="s">
        <v>60</v>
      </c>
      <c r="I170" s="10" t="s">
        <v>23</v>
      </c>
      <c r="J170" s="8" t="s">
        <v>543</v>
      </c>
      <c r="K170" s="11" t="s">
        <v>47</v>
      </c>
      <c r="L170" s="8"/>
      <c r="M170" s="12"/>
      <c r="N170" s="9" t="s">
        <v>544</v>
      </c>
      <c r="O170" s="9"/>
      <c r="P170" s="13"/>
      <c r="Q170" s="14"/>
    </row>
    <row r="171" customFormat="false" ht="15" hidden="false" customHeight="false" outlineLevel="0" collapsed="false">
      <c r="A171" s="8" t="s">
        <v>35</v>
      </c>
      <c r="B171" s="8" t="s">
        <v>69</v>
      </c>
      <c r="C171" s="8" t="s">
        <v>55</v>
      </c>
      <c r="D171" s="9" t="s">
        <v>545</v>
      </c>
      <c r="E171" s="8" t="s">
        <v>471</v>
      </c>
      <c r="F171" s="8" t="s">
        <v>472</v>
      </c>
      <c r="G171" s="8" t="s">
        <v>546</v>
      </c>
      <c r="H171" s="8" t="s">
        <v>60</v>
      </c>
      <c r="I171" s="10" t="s">
        <v>23</v>
      </c>
      <c r="J171" s="8" t="s">
        <v>547</v>
      </c>
      <c r="K171" s="11" t="s">
        <v>47</v>
      </c>
      <c r="L171" s="8"/>
      <c r="M171" s="12"/>
      <c r="N171" s="9" t="s">
        <v>73</v>
      </c>
      <c r="O171" s="9"/>
      <c r="P171" s="13"/>
      <c r="Q171" s="14"/>
    </row>
    <row r="172" customFormat="false" ht="22.35" hidden="false" customHeight="false" outlineLevel="0" collapsed="false">
      <c r="A172" s="8" t="s">
        <v>35</v>
      </c>
      <c r="B172" s="8" t="s">
        <v>74</v>
      </c>
      <c r="C172" s="8" t="s">
        <v>55</v>
      </c>
      <c r="D172" s="9" t="s">
        <v>548</v>
      </c>
      <c r="E172" s="8" t="s">
        <v>471</v>
      </c>
      <c r="F172" s="8" t="s">
        <v>472</v>
      </c>
      <c r="G172" s="8" t="s">
        <v>539</v>
      </c>
      <c r="H172" s="8" t="s">
        <v>60</v>
      </c>
      <c r="I172" s="15" t="s">
        <v>25</v>
      </c>
      <c r="J172" s="8" t="s">
        <v>549</v>
      </c>
      <c r="K172" s="11" t="s">
        <v>47</v>
      </c>
      <c r="L172" s="8"/>
      <c r="M172" s="12"/>
      <c r="N172" s="9" t="s">
        <v>550</v>
      </c>
      <c r="O172" s="9" t="s">
        <v>551</v>
      </c>
      <c r="P172" s="13"/>
      <c r="Q172" s="14"/>
    </row>
    <row r="173" customFormat="false" ht="15" hidden="false" customHeight="false" outlineLevel="0" collapsed="false">
      <c r="A173" s="8" t="s">
        <v>35</v>
      </c>
      <c r="B173" s="8" t="s">
        <v>80</v>
      </c>
      <c r="C173" s="8" t="s">
        <v>55</v>
      </c>
      <c r="D173" s="9" t="s">
        <v>552</v>
      </c>
      <c r="E173" s="8" t="s">
        <v>471</v>
      </c>
      <c r="F173" s="8" t="s">
        <v>472</v>
      </c>
      <c r="G173" s="8" t="s">
        <v>542</v>
      </c>
      <c r="H173" s="8" t="s">
        <v>60</v>
      </c>
      <c r="I173" s="10" t="s">
        <v>23</v>
      </c>
      <c r="J173" s="8" t="s">
        <v>553</v>
      </c>
      <c r="K173" s="11" t="s">
        <v>47</v>
      </c>
      <c r="L173" s="8"/>
      <c r="M173" s="12"/>
      <c r="N173" s="9" t="s">
        <v>554</v>
      </c>
      <c r="O173" s="9"/>
      <c r="P173" s="13"/>
      <c r="Q173" s="14"/>
    </row>
    <row r="174" customFormat="false" ht="15" hidden="false" customHeight="false" outlineLevel="0" collapsed="false">
      <c r="A174" s="8" t="s">
        <v>35</v>
      </c>
      <c r="B174" s="8" t="s">
        <v>85</v>
      </c>
      <c r="C174" s="8" t="s">
        <v>55</v>
      </c>
      <c r="D174" s="9" t="s">
        <v>555</v>
      </c>
      <c r="E174" s="8" t="s">
        <v>471</v>
      </c>
      <c r="F174" s="8" t="s">
        <v>472</v>
      </c>
      <c r="G174" s="8" t="s">
        <v>546</v>
      </c>
      <c r="H174" s="8" t="s">
        <v>60</v>
      </c>
      <c r="I174" s="10" t="s">
        <v>23</v>
      </c>
      <c r="J174" s="8" t="s">
        <v>556</v>
      </c>
      <c r="K174" s="11" t="s">
        <v>47</v>
      </c>
      <c r="L174" s="8"/>
      <c r="M174" s="12"/>
      <c r="N174" s="9" t="s">
        <v>73</v>
      </c>
      <c r="O174" s="9"/>
      <c r="P174" s="13"/>
      <c r="Q174" s="14"/>
    </row>
    <row r="175" customFormat="false" ht="15" hidden="false" customHeight="false" outlineLevel="0" collapsed="false">
      <c r="A175" s="8" t="s">
        <v>35</v>
      </c>
      <c r="B175" s="8" t="s">
        <v>54</v>
      </c>
      <c r="C175" s="8" t="s">
        <v>90</v>
      </c>
      <c r="D175" s="9" t="s">
        <v>557</v>
      </c>
      <c r="E175" s="8" t="s">
        <v>471</v>
      </c>
      <c r="F175" s="8" t="s">
        <v>472</v>
      </c>
      <c r="G175" s="8" t="s">
        <v>539</v>
      </c>
      <c r="H175" s="8" t="s">
        <v>60</v>
      </c>
      <c r="I175" s="10" t="s">
        <v>23</v>
      </c>
      <c r="J175" s="8" t="s">
        <v>558</v>
      </c>
      <c r="K175" s="11" t="s">
        <v>47</v>
      </c>
      <c r="L175" s="8"/>
      <c r="M175" s="12"/>
      <c r="N175" s="9" t="s">
        <v>559</v>
      </c>
      <c r="O175" s="9"/>
      <c r="P175" s="13"/>
      <c r="Q175" s="14"/>
    </row>
    <row r="176" customFormat="false" ht="22.35" hidden="false" customHeight="false" outlineLevel="0" collapsed="false">
      <c r="A176" s="8" t="s">
        <v>35</v>
      </c>
      <c r="B176" s="8" t="s">
        <v>63</v>
      </c>
      <c r="C176" s="8" t="s">
        <v>90</v>
      </c>
      <c r="D176" s="9" t="s">
        <v>560</v>
      </c>
      <c r="E176" s="8" t="s">
        <v>471</v>
      </c>
      <c r="F176" s="8" t="s">
        <v>472</v>
      </c>
      <c r="G176" s="8" t="s">
        <v>542</v>
      </c>
      <c r="H176" s="8" t="s">
        <v>60</v>
      </c>
      <c r="I176" s="15" t="s">
        <v>25</v>
      </c>
      <c r="J176" s="8" t="s">
        <v>561</v>
      </c>
      <c r="K176" s="11" t="s">
        <v>47</v>
      </c>
      <c r="L176" s="8"/>
      <c r="M176" s="12"/>
      <c r="N176" s="9" t="s">
        <v>562</v>
      </c>
      <c r="O176" s="9" t="s">
        <v>563</v>
      </c>
      <c r="P176" s="13"/>
      <c r="Q176" s="14"/>
    </row>
    <row r="177" customFormat="false" ht="15" hidden="false" customHeight="false" outlineLevel="0" collapsed="false">
      <c r="A177" s="8" t="s">
        <v>35</v>
      </c>
      <c r="B177" s="8" t="s">
        <v>69</v>
      </c>
      <c r="C177" s="8" t="s">
        <v>90</v>
      </c>
      <c r="D177" s="9" t="s">
        <v>564</v>
      </c>
      <c r="E177" s="8" t="s">
        <v>471</v>
      </c>
      <c r="F177" s="8" t="s">
        <v>472</v>
      </c>
      <c r="G177" s="8" t="s">
        <v>546</v>
      </c>
      <c r="H177" s="8" t="s">
        <v>60</v>
      </c>
      <c r="I177" s="10" t="s">
        <v>23</v>
      </c>
      <c r="J177" s="8" t="s">
        <v>565</v>
      </c>
      <c r="K177" s="11" t="s">
        <v>47</v>
      </c>
      <c r="L177" s="8"/>
      <c r="M177" s="12"/>
      <c r="N177" s="9" t="s">
        <v>68</v>
      </c>
      <c r="O177" s="9"/>
      <c r="P177" s="13"/>
      <c r="Q177" s="14"/>
    </row>
    <row r="178" customFormat="false" ht="15" hidden="false" customHeight="false" outlineLevel="0" collapsed="false">
      <c r="A178" s="8" t="s">
        <v>35</v>
      </c>
      <c r="B178" s="8" t="s">
        <v>74</v>
      </c>
      <c r="C178" s="8" t="s">
        <v>90</v>
      </c>
      <c r="D178" s="9" t="s">
        <v>566</v>
      </c>
      <c r="E178" s="8" t="s">
        <v>471</v>
      </c>
      <c r="F178" s="8" t="s">
        <v>472</v>
      </c>
      <c r="G178" s="8" t="s">
        <v>539</v>
      </c>
      <c r="H178" s="8" t="s">
        <v>60</v>
      </c>
      <c r="I178" s="10" t="s">
        <v>23</v>
      </c>
      <c r="J178" s="8" t="s">
        <v>567</v>
      </c>
      <c r="K178" s="11" t="s">
        <v>47</v>
      </c>
      <c r="L178" s="8"/>
      <c r="M178" s="12"/>
      <c r="N178" s="9" t="s">
        <v>168</v>
      </c>
      <c r="O178" s="9"/>
      <c r="P178" s="13"/>
      <c r="Q178" s="14"/>
    </row>
    <row r="179" customFormat="false" ht="15" hidden="false" customHeight="false" outlineLevel="0" collapsed="false">
      <c r="A179" s="8" t="s">
        <v>35</v>
      </c>
      <c r="B179" s="8" t="s">
        <v>80</v>
      </c>
      <c r="C179" s="8" t="s">
        <v>90</v>
      </c>
      <c r="D179" s="9" t="s">
        <v>568</v>
      </c>
      <c r="E179" s="8" t="s">
        <v>568</v>
      </c>
      <c r="F179" s="8" t="s">
        <v>472</v>
      </c>
      <c r="G179" s="8" t="s">
        <v>542</v>
      </c>
      <c r="H179" s="8" t="s">
        <v>60</v>
      </c>
      <c r="I179" s="10" t="s">
        <v>23</v>
      </c>
      <c r="J179" s="8" t="s">
        <v>569</v>
      </c>
      <c r="K179" s="11" t="s">
        <v>47</v>
      </c>
      <c r="L179" s="8"/>
      <c r="M179" s="12"/>
      <c r="N179" s="9" t="s">
        <v>570</v>
      </c>
      <c r="O179" s="9"/>
      <c r="P179" s="13"/>
      <c r="Q179" s="14"/>
    </row>
    <row r="180" customFormat="false" ht="15" hidden="false" customHeight="false" outlineLevel="0" collapsed="false">
      <c r="A180" s="8" t="s">
        <v>35</v>
      </c>
      <c r="B180" s="8" t="s">
        <v>85</v>
      </c>
      <c r="C180" s="8" t="s">
        <v>90</v>
      </c>
      <c r="D180" s="9" t="s">
        <v>571</v>
      </c>
      <c r="E180" s="8" t="s">
        <v>471</v>
      </c>
      <c r="F180" s="8" t="s">
        <v>472</v>
      </c>
      <c r="G180" s="8" t="s">
        <v>546</v>
      </c>
      <c r="H180" s="8" t="s">
        <v>60</v>
      </c>
      <c r="I180" s="17" t="s">
        <v>24</v>
      </c>
      <c r="J180" s="8" t="s">
        <v>565</v>
      </c>
      <c r="K180" s="11" t="s">
        <v>47</v>
      </c>
      <c r="L180" s="8" t="s">
        <v>572</v>
      </c>
      <c r="M180" s="12" t="n">
        <v>2294</v>
      </c>
      <c r="N180" s="9" t="s">
        <v>573</v>
      </c>
      <c r="O180" s="9"/>
      <c r="P180" s="13"/>
      <c r="Q180" s="14"/>
    </row>
    <row r="181" customFormat="false" ht="22.35" hidden="false" customHeight="false" outlineLevel="0" collapsed="false">
      <c r="A181" s="8" t="s">
        <v>35</v>
      </c>
      <c r="B181" s="8" t="s">
        <v>54</v>
      </c>
      <c r="C181" s="8" t="s">
        <v>111</v>
      </c>
      <c r="D181" s="9" t="s">
        <v>574</v>
      </c>
      <c r="E181" s="8" t="s">
        <v>471</v>
      </c>
      <c r="F181" s="8" t="s">
        <v>472</v>
      </c>
      <c r="G181" s="8" t="s">
        <v>539</v>
      </c>
      <c r="H181" s="8" t="s">
        <v>60</v>
      </c>
      <c r="I181" s="15" t="s">
        <v>25</v>
      </c>
      <c r="J181" s="8" t="s">
        <v>575</v>
      </c>
      <c r="K181" s="11" t="s">
        <v>47</v>
      </c>
      <c r="L181" s="8"/>
      <c r="M181" s="12"/>
      <c r="N181" s="9" t="s">
        <v>576</v>
      </c>
      <c r="O181" s="9"/>
      <c r="P181" s="13"/>
      <c r="Q181" s="14"/>
    </row>
    <row r="182" customFormat="false" ht="15" hidden="false" customHeight="false" outlineLevel="0" collapsed="false">
      <c r="A182" s="8" t="s">
        <v>35</v>
      </c>
      <c r="B182" s="8" t="s">
        <v>63</v>
      </c>
      <c r="C182" s="8" t="s">
        <v>111</v>
      </c>
      <c r="D182" s="9" t="s">
        <v>577</v>
      </c>
      <c r="E182" s="8" t="s">
        <v>471</v>
      </c>
      <c r="F182" s="8" t="s">
        <v>472</v>
      </c>
      <c r="G182" s="8" t="s">
        <v>542</v>
      </c>
      <c r="H182" s="8" t="s">
        <v>60</v>
      </c>
      <c r="I182" s="10" t="s">
        <v>23</v>
      </c>
      <c r="J182" s="8" t="s">
        <v>578</v>
      </c>
      <c r="K182" s="11" t="s">
        <v>47</v>
      </c>
      <c r="L182" s="8"/>
      <c r="M182" s="12"/>
      <c r="N182" s="9" t="s">
        <v>579</v>
      </c>
      <c r="O182" s="9"/>
      <c r="P182" s="13"/>
      <c r="Q182" s="14"/>
    </row>
    <row r="183" customFormat="false" ht="15" hidden="false" customHeight="false" outlineLevel="0" collapsed="false">
      <c r="A183" s="8" t="s">
        <v>35</v>
      </c>
      <c r="B183" s="8" t="s">
        <v>69</v>
      </c>
      <c r="C183" s="8" t="s">
        <v>111</v>
      </c>
      <c r="D183" s="9" t="s">
        <v>580</v>
      </c>
      <c r="E183" s="8" t="s">
        <v>471</v>
      </c>
      <c r="F183" s="8" t="s">
        <v>472</v>
      </c>
      <c r="G183" s="8" t="s">
        <v>546</v>
      </c>
      <c r="H183" s="8" t="s">
        <v>60</v>
      </c>
      <c r="I183" s="10" t="s">
        <v>23</v>
      </c>
      <c r="J183" s="8" t="s">
        <v>581</v>
      </c>
      <c r="K183" s="11" t="s">
        <v>47</v>
      </c>
      <c r="L183" s="8"/>
      <c r="M183" s="12"/>
      <c r="N183" s="9" t="s">
        <v>73</v>
      </c>
      <c r="O183" s="9"/>
      <c r="P183" s="13"/>
      <c r="Q183" s="14"/>
    </row>
    <row r="184" customFormat="false" ht="22.35" hidden="false" customHeight="false" outlineLevel="0" collapsed="false">
      <c r="A184" s="8" t="s">
        <v>35</v>
      </c>
      <c r="B184" s="8" t="s">
        <v>74</v>
      </c>
      <c r="C184" s="8" t="s">
        <v>111</v>
      </c>
      <c r="D184" s="9" t="s">
        <v>582</v>
      </c>
      <c r="E184" s="8" t="s">
        <v>471</v>
      </c>
      <c r="F184" s="8" t="s">
        <v>472</v>
      </c>
      <c r="G184" s="8" t="s">
        <v>539</v>
      </c>
      <c r="H184" s="8" t="s">
        <v>60</v>
      </c>
      <c r="I184" s="17" t="s">
        <v>24</v>
      </c>
      <c r="J184" s="8" t="s">
        <v>583</v>
      </c>
      <c r="K184" s="11" t="s">
        <v>47</v>
      </c>
      <c r="L184" s="8" t="s">
        <v>584</v>
      </c>
      <c r="M184" s="12" t="n">
        <v>2132</v>
      </c>
      <c r="N184" s="9" t="s">
        <v>585</v>
      </c>
      <c r="O184" s="9"/>
      <c r="P184" s="13"/>
      <c r="Q184" s="14"/>
    </row>
    <row r="185" customFormat="false" ht="22.35" hidden="false" customHeight="false" outlineLevel="0" collapsed="false">
      <c r="A185" s="8" t="s">
        <v>35</v>
      </c>
      <c r="B185" s="8" t="s">
        <v>80</v>
      </c>
      <c r="C185" s="8" t="s">
        <v>111</v>
      </c>
      <c r="D185" s="9" t="s">
        <v>586</v>
      </c>
      <c r="E185" s="8" t="s">
        <v>471</v>
      </c>
      <c r="F185" s="8" t="s">
        <v>472</v>
      </c>
      <c r="G185" s="8" t="s">
        <v>542</v>
      </c>
      <c r="H185" s="8" t="s">
        <v>60</v>
      </c>
      <c r="I185" s="16" t="s">
        <v>26</v>
      </c>
      <c r="J185" s="8" t="s">
        <v>587</v>
      </c>
      <c r="K185" s="11" t="s">
        <v>47</v>
      </c>
      <c r="L185" s="8"/>
      <c r="M185" s="12"/>
      <c r="N185" s="9" t="s">
        <v>84</v>
      </c>
      <c r="O185" s="9"/>
      <c r="P185" s="13"/>
      <c r="Q185" s="14"/>
    </row>
    <row r="186" customFormat="false" ht="22.35" hidden="false" customHeight="false" outlineLevel="0" collapsed="false">
      <c r="A186" s="8" t="s">
        <v>35</v>
      </c>
      <c r="B186" s="8" t="s">
        <v>85</v>
      </c>
      <c r="C186" s="8" t="s">
        <v>111</v>
      </c>
      <c r="D186" s="9" t="s">
        <v>588</v>
      </c>
      <c r="E186" s="8" t="s">
        <v>471</v>
      </c>
      <c r="F186" s="8" t="s">
        <v>472</v>
      </c>
      <c r="G186" s="8" t="s">
        <v>546</v>
      </c>
      <c r="H186" s="8" t="s">
        <v>60</v>
      </c>
      <c r="I186" s="16" t="s">
        <v>26</v>
      </c>
      <c r="J186" s="8" t="s">
        <v>589</v>
      </c>
      <c r="K186" s="11" t="s">
        <v>47</v>
      </c>
      <c r="L186" s="8"/>
      <c r="M186" s="12"/>
      <c r="N186" s="9" t="s">
        <v>84</v>
      </c>
      <c r="O186" s="9"/>
      <c r="P186" s="13"/>
      <c r="Q186" s="14"/>
    </row>
    <row r="187" customFormat="false" ht="15" hidden="false" customHeight="false" outlineLevel="0" collapsed="false">
      <c r="A187" s="8" t="s">
        <v>35</v>
      </c>
      <c r="B187" s="8" t="s">
        <v>54</v>
      </c>
      <c r="C187" s="8" t="s">
        <v>127</v>
      </c>
      <c r="D187" s="9" t="s">
        <v>590</v>
      </c>
      <c r="E187" s="8" t="s">
        <v>471</v>
      </c>
      <c r="F187" s="8" t="s">
        <v>472</v>
      </c>
      <c r="G187" s="8" t="s">
        <v>539</v>
      </c>
      <c r="H187" s="8" t="s">
        <v>60</v>
      </c>
      <c r="I187" s="10" t="s">
        <v>23</v>
      </c>
      <c r="J187" s="8" t="s">
        <v>591</v>
      </c>
      <c r="K187" s="11" t="s">
        <v>47</v>
      </c>
      <c r="L187" s="8"/>
      <c r="M187" s="12"/>
      <c r="N187" s="9" t="s">
        <v>73</v>
      </c>
      <c r="O187" s="9"/>
      <c r="P187" s="13"/>
      <c r="Q187" s="14"/>
    </row>
    <row r="188" customFormat="false" ht="22.35" hidden="false" customHeight="false" outlineLevel="0" collapsed="false">
      <c r="A188" s="8" t="s">
        <v>35</v>
      </c>
      <c r="B188" s="8" t="s">
        <v>63</v>
      </c>
      <c r="C188" s="8" t="s">
        <v>127</v>
      </c>
      <c r="D188" s="9" t="s">
        <v>592</v>
      </c>
      <c r="E188" s="8" t="s">
        <v>471</v>
      </c>
      <c r="F188" s="8" t="s">
        <v>472</v>
      </c>
      <c r="G188" s="8" t="s">
        <v>542</v>
      </c>
      <c r="H188" s="8" t="s">
        <v>60</v>
      </c>
      <c r="I188" s="16" t="s">
        <v>26</v>
      </c>
      <c r="J188" s="8" t="s">
        <v>593</v>
      </c>
      <c r="K188" s="11" t="s">
        <v>47</v>
      </c>
      <c r="L188" s="8"/>
      <c r="M188" s="12"/>
      <c r="N188" s="9" t="s">
        <v>84</v>
      </c>
      <c r="O188" s="9"/>
      <c r="P188" s="13"/>
      <c r="Q188" s="14"/>
    </row>
    <row r="189" customFormat="false" ht="15" hidden="false" customHeight="false" outlineLevel="0" collapsed="false">
      <c r="A189" s="8" t="s">
        <v>35</v>
      </c>
      <c r="B189" s="8" t="s">
        <v>69</v>
      </c>
      <c r="C189" s="8" t="s">
        <v>127</v>
      </c>
      <c r="D189" s="9" t="s">
        <v>594</v>
      </c>
      <c r="E189" s="8" t="s">
        <v>471</v>
      </c>
      <c r="F189" s="8" t="s">
        <v>472</v>
      </c>
      <c r="G189" s="8" t="s">
        <v>546</v>
      </c>
      <c r="H189" s="8" t="s">
        <v>60</v>
      </c>
      <c r="I189" s="10" t="s">
        <v>23</v>
      </c>
      <c r="J189" s="8" t="s">
        <v>595</v>
      </c>
      <c r="K189" s="11" t="s">
        <v>47</v>
      </c>
      <c r="L189" s="8"/>
      <c r="M189" s="12"/>
      <c r="N189" s="9" t="s">
        <v>596</v>
      </c>
      <c r="O189" s="9"/>
      <c r="P189" s="13"/>
      <c r="Q189" s="14"/>
    </row>
    <row r="190" customFormat="false" ht="22.35" hidden="false" customHeight="false" outlineLevel="0" collapsed="false">
      <c r="A190" s="8" t="s">
        <v>35</v>
      </c>
      <c r="B190" s="8" t="s">
        <v>74</v>
      </c>
      <c r="C190" s="8" t="s">
        <v>127</v>
      </c>
      <c r="D190" s="9" t="s">
        <v>597</v>
      </c>
      <c r="E190" s="8" t="s">
        <v>471</v>
      </c>
      <c r="F190" s="8" t="s">
        <v>472</v>
      </c>
      <c r="G190" s="8" t="s">
        <v>539</v>
      </c>
      <c r="H190" s="8" t="s">
        <v>60</v>
      </c>
      <c r="I190" s="15" t="s">
        <v>25</v>
      </c>
      <c r="J190" s="8" t="s">
        <v>598</v>
      </c>
      <c r="K190" s="11" t="s">
        <v>47</v>
      </c>
      <c r="L190" s="8"/>
      <c r="M190" s="12"/>
      <c r="N190" s="9" t="s">
        <v>599</v>
      </c>
      <c r="O190" s="9"/>
      <c r="P190" s="13"/>
      <c r="Q190" s="14"/>
    </row>
    <row r="191" customFormat="false" ht="22.35" hidden="false" customHeight="false" outlineLevel="0" collapsed="false">
      <c r="A191" s="8" t="s">
        <v>35</v>
      </c>
      <c r="B191" s="8" t="s">
        <v>80</v>
      </c>
      <c r="C191" s="8" t="s">
        <v>127</v>
      </c>
      <c r="D191" s="9" t="s">
        <v>600</v>
      </c>
      <c r="E191" s="8" t="s">
        <v>471</v>
      </c>
      <c r="F191" s="8" t="s">
        <v>472</v>
      </c>
      <c r="G191" s="8" t="s">
        <v>542</v>
      </c>
      <c r="H191" s="8" t="s">
        <v>60</v>
      </c>
      <c r="I191" s="16" t="s">
        <v>26</v>
      </c>
      <c r="J191" s="8" t="s">
        <v>601</v>
      </c>
      <c r="K191" s="11" t="s">
        <v>47</v>
      </c>
      <c r="L191" s="8"/>
      <c r="M191" s="12"/>
      <c r="N191" s="9" t="s">
        <v>84</v>
      </c>
      <c r="O191" s="9"/>
      <c r="P191" s="13"/>
      <c r="Q191" s="14"/>
    </row>
    <row r="192" customFormat="false" ht="15" hidden="false" customHeight="false" outlineLevel="0" collapsed="false">
      <c r="A192" s="8" t="s">
        <v>35</v>
      </c>
      <c r="B192" s="8" t="s">
        <v>85</v>
      </c>
      <c r="C192" s="8" t="s">
        <v>127</v>
      </c>
      <c r="D192" s="9" t="s">
        <v>602</v>
      </c>
      <c r="E192" s="8" t="s">
        <v>471</v>
      </c>
      <c r="F192" s="8" t="s">
        <v>472</v>
      </c>
      <c r="G192" s="8" t="s">
        <v>546</v>
      </c>
      <c r="H192" s="8" t="s">
        <v>60</v>
      </c>
      <c r="I192" s="10" t="s">
        <v>23</v>
      </c>
      <c r="J192" s="8" t="s">
        <v>603</v>
      </c>
      <c r="K192" s="11" t="s">
        <v>47</v>
      </c>
      <c r="L192" s="8"/>
      <c r="M192" s="12"/>
      <c r="N192" s="9" t="s">
        <v>604</v>
      </c>
      <c r="O192" s="9"/>
      <c r="P192" s="13"/>
      <c r="Q192" s="14"/>
    </row>
    <row r="193" customFormat="false" ht="15" hidden="false" customHeight="false" outlineLevel="0" collapsed="false">
      <c r="A193" s="8" t="s">
        <v>36</v>
      </c>
      <c r="B193" s="8" t="s">
        <v>54</v>
      </c>
      <c r="C193" s="8" t="s">
        <v>55</v>
      </c>
      <c r="D193" s="9" t="s">
        <v>605</v>
      </c>
      <c r="E193" s="8" t="s">
        <v>145</v>
      </c>
      <c r="F193" s="8" t="s">
        <v>606</v>
      </c>
      <c r="G193" s="8" t="s">
        <v>218</v>
      </c>
      <c r="H193" s="8"/>
      <c r="I193" s="10" t="s">
        <v>23</v>
      </c>
      <c r="J193" s="8" t="s">
        <v>607</v>
      </c>
      <c r="K193" s="11" t="s">
        <v>47</v>
      </c>
      <c r="L193" s="8"/>
      <c r="M193" s="12"/>
      <c r="N193" s="9" t="s">
        <v>73</v>
      </c>
      <c r="O193" s="9"/>
      <c r="P193" s="13"/>
      <c r="Q193" s="14"/>
    </row>
    <row r="194" customFormat="false" ht="15" hidden="false" customHeight="false" outlineLevel="0" collapsed="false">
      <c r="A194" s="8" t="s">
        <v>36</v>
      </c>
      <c r="B194" s="8" t="s">
        <v>63</v>
      </c>
      <c r="C194" s="8" t="s">
        <v>55</v>
      </c>
      <c r="D194" s="9" t="s">
        <v>608</v>
      </c>
      <c r="E194" s="8" t="s">
        <v>145</v>
      </c>
      <c r="F194" s="8" t="s">
        <v>606</v>
      </c>
      <c r="G194" s="8" t="s">
        <v>218</v>
      </c>
      <c r="H194" s="8"/>
      <c r="I194" s="10" t="s">
        <v>23</v>
      </c>
      <c r="J194" s="8" t="s">
        <v>609</v>
      </c>
      <c r="K194" s="11" t="s">
        <v>47</v>
      </c>
      <c r="L194" s="8"/>
      <c r="M194" s="12"/>
      <c r="N194" s="9" t="s">
        <v>68</v>
      </c>
      <c r="O194" s="9"/>
      <c r="P194" s="13"/>
      <c r="Q194" s="14"/>
    </row>
    <row r="195" customFormat="false" ht="15" hidden="false" customHeight="false" outlineLevel="0" collapsed="false">
      <c r="A195" s="8" t="s">
        <v>36</v>
      </c>
      <c r="B195" s="8" t="s">
        <v>69</v>
      </c>
      <c r="C195" s="8" t="s">
        <v>55</v>
      </c>
      <c r="D195" s="9" t="s">
        <v>610</v>
      </c>
      <c r="E195" s="8" t="s">
        <v>610</v>
      </c>
      <c r="F195" s="8" t="s">
        <v>606</v>
      </c>
      <c r="G195" s="8" t="s">
        <v>218</v>
      </c>
      <c r="H195" s="8"/>
      <c r="I195" s="10" t="s">
        <v>23</v>
      </c>
      <c r="J195" s="8" t="s">
        <v>611</v>
      </c>
      <c r="K195" s="11" t="s">
        <v>47</v>
      </c>
      <c r="L195" s="8"/>
      <c r="M195" s="12"/>
      <c r="N195" s="9" t="s">
        <v>73</v>
      </c>
      <c r="O195" s="9"/>
      <c r="P195" s="13"/>
      <c r="Q195" s="14"/>
    </row>
    <row r="196" customFormat="false" ht="15" hidden="false" customHeight="false" outlineLevel="0" collapsed="false">
      <c r="A196" s="8" t="s">
        <v>36</v>
      </c>
      <c r="B196" s="8" t="s">
        <v>74</v>
      </c>
      <c r="C196" s="8" t="s">
        <v>55</v>
      </c>
      <c r="D196" s="9" t="s">
        <v>612</v>
      </c>
      <c r="E196" s="8" t="s">
        <v>145</v>
      </c>
      <c r="F196" s="8" t="s">
        <v>606</v>
      </c>
      <c r="G196" s="8" t="s">
        <v>218</v>
      </c>
      <c r="H196" s="8"/>
      <c r="I196" s="17" t="s">
        <v>24</v>
      </c>
      <c r="J196" s="8" t="s">
        <v>613</v>
      </c>
      <c r="K196" s="11" t="s">
        <v>47</v>
      </c>
      <c r="L196" s="8" t="s">
        <v>614</v>
      </c>
      <c r="M196" s="12" t="n">
        <v>6049</v>
      </c>
      <c r="N196" s="9" t="s">
        <v>105</v>
      </c>
      <c r="O196" s="9"/>
      <c r="P196" s="13"/>
      <c r="Q196" s="14"/>
    </row>
    <row r="197" customFormat="false" ht="15" hidden="false" customHeight="false" outlineLevel="0" collapsed="false">
      <c r="A197" s="8" t="s">
        <v>36</v>
      </c>
      <c r="B197" s="8" t="s">
        <v>80</v>
      </c>
      <c r="C197" s="8" t="s">
        <v>55</v>
      </c>
      <c r="D197" s="9" t="s">
        <v>173</v>
      </c>
      <c r="E197" s="8" t="s">
        <v>145</v>
      </c>
      <c r="F197" s="8" t="s">
        <v>606</v>
      </c>
      <c r="G197" s="8" t="s">
        <v>218</v>
      </c>
      <c r="H197" s="8"/>
      <c r="I197" s="10" t="s">
        <v>23</v>
      </c>
      <c r="J197" s="8" t="s">
        <v>174</v>
      </c>
      <c r="K197" s="11" t="s">
        <v>47</v>
      </c>
      <c r="L197" s="8"/>
      <c r="M197" s="12"/>
      <c r="N197" s="9" t="s">
        <v>73</v>
      </c>
      <c r="O197" s="9"/>
      <c r="P197" s="13"/>
      <c r="Q197" s="14"/>
    </row>
    <row r="198" customFormat="false" ht="15" hidden="false" customHeight="false" outlineLevel="0" collapsed="false">
      <c r="A198" s="8" t="s">
        <v>36</v>
      </c>
      <c r="B198" s="8" t="s">
        <v>85</v>
      </c>
      <c r="C198" s="8" t="s">
        <v>55</v>
      </c>
      <c r="D198" s="9" t="s">
        <v>615</v>
      </c>
      <c r="E198" s="8" t="s">
        <v>145</v>
      </c>
      <c r="F198" s="8" t="s">
        <v>606</v>
      </c>
      <c r="G198" s="8" t="s">
        <v>218</v>
      </c>
      <c r="H198" s="8"/>
      <c r="I198" s="17" t="s">
        <v>24</v>
      </c>
      <c r="J198" s="8" t="s">
        <v>616</v>
      </c>
      <c r="K198" s="11" t="s">
        <v>47</v>
      </c>
      <c r="L198" s="8" t="s">
        <v>617</v>
      </c>
      <c r="M198" s="12" t="n">
        <v>3155</v>
      </c>
      <c r="N198" s="9" t="s">
        <v>618</v>
      </c>
      <c r="O198" s="9"/>
      <c r="P198" s="13"/>
      <c r="Q198" s="14"/>
    </row>
    <row r="199" customFormat="false" ht="15" hidden="false" customHeight="false" outlineLevel="0" collapsed="false">
      <c r="A199" s="8" t="s">
        <v>36</v>
      </c>
      <c r="B199" s="8" t="s">
        <v>54</v>
      </c>
      <c r="C199" s="8" t="s">
        <v>90</v>
      </c>
      <c r="D199" s="9" t="s">
        <v>619</v>
      </c>
      <c r="E199" s="8" t="s">
        <v>145</v>
      </c>
      <c r="F199" s="8" t="s">
        <v>606</v>
      </c>
      <c r="G199" s="8" t="s">
        <v>218</v>
      </c>
      <c r="H199" s="8"/>
      <c r="I199" s="17" t="s">
        <v>24</v>
      </c>
      <c r="J199" s="8" t="s">
        <v>620</v>
      </c>
      <c r="K199" s="11" t="s">
        <v>47</v>
      </c>
      <c r="L199" s="8" t="s">
        <v>621</v>
      </c>
      <c r="M199" s="12" t="n">
        <v>1390</v>
      </c>
      <c r="N199" s="9" t="s">
        <v>622</v>
      </c>
      <c r="O199" s="9"/>
      <c r="P199" s="13"/>
      <c r="Q199" s="14"/>
    </row>
    <row r="200" customFormat="false" ht="15" hidden="false" customHeight="false" outlineLevel="0" collapsed="false">
      <c r="A200" s="8" t="s">
        <v>36</v>
      </c>
      <c r="B200" s="8" t="s">
        <v>63</v>
      </c>
      <c r="C200" s="8" t="s">
        <v>90</v>
      </c>
      <c r="D200" s="9" t="s">
        <v>623</v>
      </c>
      <c r="E200" s="8" t="s">
        <v>145</v>
      </c>
      <c r="F200" s="8" t="s">
        <v>606</v>
      </c>
      <c r="G200" s="8" t="s">
        <v>218</v>
      </c>
      <c r="H200" s="8"/>
      <c r="I200" s="10" t="s">
        <v>23</v>
      </c>
      <c r="J200" s="8" t="s">
        <v>624</v>
      </c>
      <c r="K200" s="11" t="s">
        <v>47</v>
      </c>
      <c r="L200" s="8"/>
      <c r="M200" s="12"/>
      <c r="N200" s="9" t="s">
        <v>625</v>
      </c>
      <c r="O200" s="9"/>
      <c r="P200" s="13"/>
      <c r="Q200" s="14"/>
    </row>
    <row r="201" customFormat="false" ht="15" hidden="false" customHeight="false" outlineLevel="0" collapsed="false">
      <c r="A201" s="8" t="s">
        <v>36</v>
      </c>
      <c r="B201" s="8" t="s">
        <v>69</v>
      </c>
      <c r="C201" s="8" t="s">
        <v>90</v>
      </c>
      <c r="D201" s="9" t="s">
        <v>626</v>
      </c>
      <c r="E201" s="8" t="s">
        <v>145</v>
      </c>
      <c r="F201" s="8" t="s">
        <v>606</v>
      </c>
      <c r="G201" s="8" t="s">
        <v>218</v>
      </c>
      <c r="H201" s="8"/>
      <c r="I201" s="10" t="s">
        <v>23</v>
      </c>
      <c r="J201" s="8" t="s">
        <v>627</v>
      </c>
      <c r="K201" s="11" t="s">
        <v>47</v>
      </c>
      <c r="L201" s="8"/>
      <c r="M201" s="12"/>
      <c r="N201" s="9" t="s">
        <v>68</v>
      </c>
      <c r="O201" s="9"/>
      <c r="P201" s="13"/>
      <c r="Q201" s="14"/>
    </row>
    <row r="202" customFormat="false" ht="15" hidden="false" customHeight="false" outlineLevel="0" collapsed="false">
      <c r="A202" s="8" t="s">
        <v>36</v>
      </c>
      <c r="B202" s="8" t="s">
        <v>74</v>
      </c>
      <c r="C202" s="8" t="s">
        <v>90</v>
      </c>
      <c r="D202" s="9" t="s">
        <v>628</v>
      </c>
      <c r="E202" s="8" t="s">
        <v>145</v>
      </c>
      <c r="F202" s="8" t="s">
        <v>606</v>
      </c>
      <c r="G202" s="8" t="s">
        <v>218</v>
      </c>
      <c r="H202" s="8"/>
      <c r="I202" s="10" t="s">
        <v>23</v>
      </c>
      <c r="J202" s="8" t="s">
        <v>629</v>
      </c>
      <c r="K202" s="11" t="s">
        <v>47</v>
      </c>
      <c r="L202" s="8"/>
      <c r="M202" s="12"/>
      <c r="N202" s="9" t="s">
        <v>68</v>
      </c>
      <c r="O202" s="9"/>
      <c r="P202" s="13"/>
      <c r="Q202" s="14"/>
    </row>
    <row r="203" customFormat="false" ht="15" hidden="false" customHeight="false" outlineLevel="0" collapsed="false">
      <c r="A203" s="8" t="s">
        <v>36</v>
      </c>
      <c r="B203" s="8" t="s">
        <v>80</v>
      </c>
      <c r="C203" s="8" t="s">
        <v>90</v>
      </c>
      <c r="D203" s="9" t="s">
        <v>630</v>
      </c>
      <c r="E203" s="8" t="s">
        <v>145</v>
      </c>
      <c r="F203" s="8" t="s">
        <v>606</v>
      </c>
      <c r="G203" s="8" t="s">
        <v>218</v>
      </c>
      <c r="H203" s="8"/>
      <c r="I203" s="10" t="s">
        <v>23</v>
      </c>
      <c r="J203" s="8" t="s">
        <v>631</v>
      </c>
      <c r="K203" s="11" t="s">
        <v>47</v>
      </c>
      <c r="L203" s="8"/>
      <c r="M203" s="12"/>
      <c r="N203" s="9" t="s">
        <v>73</v>
      </c>
      <c r="O203" s="9"/>
      <c r="P203" s="13"/>
      <c r="Q203" s="14"/>
    </row>
    <row r="204" customFormat="false" ht="15" hidden="false" customHeight="false" outlineLevel="0" collapsed="false">
      <c r="A204" s="8" t="s">
        <v>36</v>
      </c>
      <c r="B204" s="8" t="s">
        <v>85</v>
      </c>
      <c r="C204" s="8" t="s">
        <v>90</v>
      </c>
      <c r="D204" s="9" t="s">
        <v>632</v>
      </c>
      <c r="E204" s="8" t="s">
        <v>145</v>
      </c>
      <c r="F204" s="8" t="s">
        <v>606</v>
      </c>
      <c r="G204" s="8" t="s">
        <v>218</v>
      </c>
      <c r="H204" s="8"/>
      <c r="I204" s="17" t="s">
        <v>24</v>
      </c>
      <c r="J204" s="8" t="s">
        <v>616</v>
      </c>
      <c r="K204" s="11" t="s">
        <v>47</v>
      </c>
      <c r="L204" s="8" t="s">
        <v>633</v>
      </c>
      <c r="M204" s="12" t="n">
        <v>2973</v>
      </c>
      <c r="N204" s="9" t="s">
        <v>618</v>
      </c>
      <c r="O204" s="9"/>
      <c r="P204" s="13"/>
      <c r="Q204" s="14"/>
    </row>
    <row r="205" customFormat="false" ht="15" hidden="false" customHeight="false" outlineLevel="0" collapsed="false">
      <c r="A205" s="8" t="s">
        <v>36</v>
      </c>
      <c r="B205" s="8" t="s">
        <v>54</v>
      </c>
      <c r="C205" s="8" t="s">
        <v>111</v>
      </c>
      <c r="D205" s="9" t="s">
        <v>634</v>
      </c>
      <c r="E205" s="8" t="s">
        <v>145</v>
      </c>
      <c r="F205" s="8" t="s">
        <v>606</v>
      </c>
      <c r="G205" s="8" t="s">
        <v>218</v>
      </c>
      <c r="H205" s="8"/>
      <c r="I205" s="17" t="s">
        <v>24</v>
      </c>
      <c r="J205" s="8" t="s">
        <v>620</v>
      </c>
      <c r="K205" s="11" t="s">
        <v>47</v>
      </c>
      <c r="L205" s="8" t="s">
        <v>635</v>
      </c>
      <c r="M205" s="12" t="n">
        <v>1514</v>
      </c>
      <c r="N205" s="9" t="s">
        <v>622</v>
      </c>
      <c r="O205" s="9"/>
      <c r="P205" s="13"/>
      <c r="Q205" s="14"/>
    </row>
    <row r="206" customFormat="false" ht="15" hidden="false" customHeight="false" outlineLevel="0" collapsed="false">
      <c r="A206" s="8" t="s">
        <v>36</v>
      </c>
      <c r="B206" s="8" t="s">
        <v>63</v>
      </c>
      <c r="C206" s="8" t="s">
        <v>111</v>
      </c>
      <c r="D206" s="9" t="s">
        <v>636</v>
      </c>
      <c r="E206" s="8" t="s">
        <v>145</v>
      </c>
      <c r="F206" s="8" t="s">
        <v>606</v>
      </c>
      <c r="G206" s="8" t="s">
        <v>218</v>
      </c>
      <c r="H206" s="8"/>
      <c r="I206" s="10" t="s">
        <v>23</v>
      </c>
      <c r="J206" s="8" t="s">
        <v>637</v>
      </c>
      <c r="K206" s="11" t="s">
        <v>47</v>
      </c>
      <c r="L206" s="8"/>
      <c r="M206" s="12"/>
      <c r="N206" s="9" t="s">
        <v>638</v>
      </c>
      <c r="O206" s="9"/>
      <c r="P206" s="13"/>
      <c r="Q206" s="14"/>
    </row>
    <row r="207" customFormat="false" ht="15" hidden="false" customHeight="false" outlineLevel="0" collapsed="false">
      <c r="A207" s="8" t="s">
        <v>36</v>
      </c>
      <c r="B207" s="8" t="s">
        <v>69</v>
      </c>
      <c r="C207" s="8" t="s">
        <v>111</v>
      </c>
      <c r="D207" s="9" t="s">
        <v>639</v>
      </c>
      <c r="E207" s="8" t="s">
        <v>145</v>
      </c>
      <c r="F207" s="8" t="s">
        <v>606</v>
      </c>
      <c r="G207" s="8" t="s">
        <v>218</v>
      </c>
      <c r="H207" s="8"/>
      <c r="I207" s="10" t="s">
        <v>23</v>
      </c>
      <c r="J207" s="8" t="s">
        <v>640</v>
      </c>
      <c r="K207" s="11" t="s">
        <v>47</v>
      </c>
      <c r="L207" s="8"/>
      <c r="M207" s="12"/>
      <c r="N207" s="9" t="s">
        <v>73</v>
      </c>
      <c r="O207" s="9"/>
      <c r="P207" s="13"/>
      <c r="Q207" s="14"/>
    </row>
    <row r="208" customFormat="false" ht="15" hidden="false" customHeight="false" outlineLevel="0" collapsed="false">
      <c r="A208" s="8" t="s">
        <v>36</v>
      </c>
      <c r="B208" s="8" t="s">
        <v>74</v>
      </c>
      <c r="C208" s="8" t="s">
        <v>111</v>
      </c>
      <c r="D208" s="9" t="s">
        <v>641</v>
      </c>
      <c r="E208" s="8" t="s">
        <v>145</v>
      </c>
      <c r="F208" s="8" t="s">
        <v>606</v>
      </c>
      <c r="G208" s="8" t="s">
        <v>218</v>
      </c>
      <c r="H208" s="8"/>
      <c r="I208" s="10" t="s">
        <v>23</v>
      </c>
      <c r="J208" s="8" t="s">
        <v>642</v>
      </c>
      <c r="K208" s="11" t="s">
        <v>47</v>
      </c>
      <c r="L208" s="8"/>
      <c r="M208" s="12"/>
      <c r="N208" s="9" t="s">
        <v>73</v>
      </c>
      <c r="O208" s="9"/>
      <c r="P208" s="13"/>
      <c r="Q208" s="14"/>
    </row>
    <row r="209" customFormat="false" ht="22.35" hidden="false" customHeight="false" outlineLevel="0" collapsed="false">
      <c r="A209" s="8" t="s">
        <v>36</v>
      </c>
      <c r="B209" s="8" t="s">
        <v>80</v>
      </c>
      <c r="C209" s="8" t="s">
        <v>111</v>
      </c>
      <c r="D209" s="9" t="s">
        <v>643</v>
      </c>
      <c r="E209" s="8" t="s">
        <v>145</v>
      </c>
      <c r="F209" s="8" t="s">
        <v>606</v>
      </c>
      <c r="G209" s="8" t="s">
        <v>218</v>
      </c>
      <c r="H209" s="8"/>
      <c r="I209" s="17" t="s">
        <v>24</v>
      </c>
      <c r="J209" s="8" t="s">
        <v>644</v>
      </c>
      <c r="K209" s="11" t="s">
        <v>47</v>
      </c>
      <c r="L209" s="8" t="s">
        <v>645</v>
      </c>
      <c r="M209" s="12" t="n">
        <v>2491</v>
      </c>
      <c r="N209" s="9" t="s">
        <v>646</v>
      </c>
      <c r="O209" s="9"/>
      <c r="P209" s="13"/>
      <c r="Q209" s="14"/>
    </row>
    <row r="210" customFormat="false" ht="15" hidden="false" customHeight="false" outlineLevel="0" collapsed="false">
      <c r="A210" s="8" t="s">
        <v>36</v>
      </c>
      <c r="B210" s="8" t="s">
        <v>85</v>
      </c>
      <c r="C210" s="8" t="s">
        <v>111</v>
      </c>
      <c r="D210" s="9" t="s">
        <v>647</v>
      </c>
      <c r="E210" s="8" t="s">
        <v>145</v>
      </c>
      <c r="F210" s="8" t="s">
        <v>606</v>
      </c>
      <c r="G210" s="8" t="s">
        <v>218</v>
      </c>
      <c r="H210" s="8"/>
      <c r="I210" s="17" t="s">
        <v>24</v>
      </c>
      <c r="J210" s="8" t="s">
        <v>616</v>
      </c>
      <c r="K210" s="11" t="s">
        <v>47</v>
      </c>
      <c r="L210" s="8" t="s">
        <v>648</v>
      </c>
      <c r="M210" s="12" t="n">
        <v>2881</v>
      </c>
      <c r="N210" s="9" t="s">
        <v>618</v>
      </c>
      <c r="O210" s="9"/>
      <c r="P210" s="13"/>
      <c r="Q210" s="14"/>
    </row>
    <row r="211" customFormat="false" ht="15" hidden="false" customHeight="false" outlineLevel="0" collapsed="false">
      <c r="A211" s="8" t="s">
        <v>36</v>
      </c>
      <c r="B211" s="8" t="s">
        <v>54</v>
      </c>
      <c r="C211" s="8" t="s">
        <v>127</v>
      </c>
      <c r="D211" s="9" t="s">
        <v>649</v>
      </c>
      <c r="E211" s="8" t="s">
        <v>145</v>
      </c>
      <c r="F211" s="8" t="s">
        <v>606</v>
      </c>
      <c r="G211" s="8" t="s">
        <v>218</v>
      </c>
      <c r="H211" s="8"/>
      <c r="I211" s="10" t="s">
        <v>23</v>
      </c>
      <c r="J211" s="8" t="s">
        <v>650</v>
      </c>
      <c r="K211" s="11" t="s">
        <v>47</v>
      </c>
      <c r="L211" s="8"/>
      <c r="M211" s="12"/>
      <c r="N211" s="9" t="s">
        <v>73</v>
      </c>
      <c r="O211" s="9"/>
      <c r="P211" s="13"/>
      <c r="Q211" s="14"/>
    </row>
    <row r="212" customFormat="false" ht="15" hidden="false" customHeight="false" outlineLevel="0" collapsed="false">
      <c r="A212" s="8" t="s">
        <v>36</v>
      </c>
      <c r="B212" s="8" t="s">
        <v>63</v>
      </c>
      <c r="C212" s="8" t="s">
        <v>127</v>
      </c>
      <c r="D212" s="9" t="s">
        <v>651</v>
      </c>
      <c r="E212" s="8" t="s">
        <v>145</v>
      </c>
      <c r="F212" s="8" t="s">
        <v>606</v>
      </c>
      <c r="G212" s="8" t="s">
        <v>218</v>
      </c>
      <c r="H212" s="8"/>
      <c r="I212" s="10" t="s">
        <v>23</v>
      </c>
      <c r="J212" s="8" t="s">
        <v>652</v>
      </c>
      <c r="K212" s="11" t="s">
        <v>47</v>
      </c>
      <c r="L212" s="8"/>
      <c r="M212" s="12"/>
      <c r="N212" s="9" t="s">
        <v>653</v>
      </c>
      <c r="O212" s="9"/>
      <c r="P212" s="13"/>
      <c r="Q212" s="14"/>
    </row>
    <row r="213" customFormat="false" ht="15" hidden="false" customHeight="false" outlineLevel="0" collapsed="false">
      <c r="A213" s="8" t="s">
        <v>36</v>
      </c>
      <c r="B213" s="8" t="s">
        <v>69</v>
      </c>
      <c r="C213" s="8" t="s">
        <v>127</v>
      </c>
      <c r="D213" s="9" t="s">
        <v>654</v>
      </c>
      <c r="E213" s="8" t="s">
        <v>145</v>
      </c>
      <c r="F213" s="8" t="s">
        <v>606</v>
      </c>
      <c r="G213" s="8" t="s">
        <v>218</v>
      </c>
      <c r="H213" s="8"/>
      <c r="I213" s="10" t="s">
        <v>23</v>
      </c>
      <c r="J213" s="8" t="s">
        <v>655</v>
      </c>
      <c r="K213" s="11" t="s">
        <v>47</v>
      </c>
      <c r="L213" s="8"/>
      <c r="M213" s="12"/>
      <c r="N213" s="9" t="s">
        <v>656</v>
      </c>
      <c r="O213" s="9"/>
      <c r="P213" s="13"/>
      <c r="Q213" s="14"/>
    </row>
    <row r="214" customFormat="false" ht="15" hidden="false" customHeight="false" outlineLevel="0" collapsed="false">
      <c r="A214" s="8" t="s">
        <v>36</v>
      </c>
      <c r="B214" s="8" t="s">
        <v>74</v>
      </c>
      <c r="C214" s="8" t="s">
        <v>127</v>
      </c>
      <c r="D214" s="9" t="s">
        <v>657</v>
      </c>
      <c r="E214" s="8" t="s">
        <v>145</v>
      </c>
      <c r="F214" s="8" t="s">
        <v>606</v>
      </c>
      <c r="G214" s="8" t="s">
        <v>218</v>
      </c>
      <c r="H214" s="8"/>
      <c r="I214" s="10" t="s">
        <v>23</v>
      </c>
      <c r="J214" s="8" t="s">
        <v>658</v>
      </c>
      <c r="K214" s="11" t="s">
        <v>47</v>
      </c>
      <c r="L214" s="8"/>
      <c r="M214" s="12"/>
      <c r="N214" s="9" t="s">
        <v>659</v>
      </c>
      <c r="O214" s="9"/>
      <c r="P214" s="13"/>
      <c r="Q214" s="14"/>
    </row>
    <row r="215" customFormat="false" ht="22.35" hidden="false" customHeight="false" outlineLevel="0" collapsed="false">
      <c r="A215" s="8" t="s">
        <v>36</v>
      </c>
      <c r="B215" s="8" t="s">
        <v>80</v>
      </c>
      <c r="C215" s="8" t="s">
        <v>127</v>
      </c>
      <c r="D215" s="9" t="s">
        <v>660</v>
      </c>
      <c r="E215" s="8" t="s">
        <v>145</v>
      </c>
      <c r="F215" s="8" t="s">
        <v>606</v>
      </c>
      <c r="G215" s="8" t="s">
        <v>218</v>
      </c>
      <c r="H215" s="8"/>
      <c r="I215" s="17" t="s">
        <v>24</v>
      </c>
      <c r="J215" s="8" t="s">
        <v>644</v>
      </c>
      <c r="K215" s="11" t="s">
        <v>47</v>
      </c>
      <c r="L215" s="8" t="s">
        <v>661</v>
      </c>
      <c r="M215" s="12" t="n">
        <v>2587</v>
      </c>
      <c r="N215" s="9" t="s">
        <v>646</v>
      </c>
      <c r="O215" s="9"/>
      <c r="P215" s="13"/>
      <c r="Q215" s="14"/>
    </row>
    <row r="216" customFormat="false" ht="15" hidden="false" customHeight="false" outlineLevel="0" collapsed="false">
      <c r="A216" s="8" t="s">
        <v>36</v>
      </c>
      <c r="B216" s="8" t="s">
        <v>85</v>
      </c>
      <c r="C216" s="8" t="s">
        <v>127</v>
      </c>
      <c r="D216" s="9" t="s">
        <v>662</v>
      </c>
      <c r="E216" s="8" t="s">
        <v>145</v>
      </c>
      <c r="F216" s="8" t="s">
        <v>606</v>
      </c>
      <c r="G216" s="8" t="s">
        <v>218</v>
      </c>
      <c r="H216" s="8"/>
      <c r="I216" s="17" t="s">
        <v>24</v>
      </c>
      <c r="J216" s="8" t="s">
        <v>616</v>
      </c>
      <c r="K216" s="11" t="s">
        <v>47</v>
      </c>
      <c r="L216" s="8" t="s">
        <v>663</v>
      </c>
      <c r="M216" s="12" t="n">
        <v>2892</v>
      </c>
      <c r="N216" s="9" t="s">
        <v>618</v>
      </c>
      <c r="O216" s="9"/>
      <c r="P216" s="13"/>
      <c r="Q216" s="14"/>
    </row>
  </sheetData>
  <autoFilter ref="A1:Q216"/>
  <dataValidations count="1">
    <dataValidation allowBlank="true" errorStyle="stop" operator="between" showDropDown="false" showErrorMessage="false" showInputMessage="false" sqref="P2:P216" type="list">
      <formula1>"Oui,Non"</formula1>
      <formula2>0</formula2>
    </dataValidation>
  </dataValidations>
  <hyperlinks>
    <hyperlink ref="K2" r:id="rId2" display="Carte"/>
    <hyperlink ref="K3" r:id="rId3" display="Carte"/>
    <hyperlink ref="K4" r:id="rId4" display="Carte"/>
    <hyperlink ref="K5" r:id="rId5" display="Carte"/>
    <hyperlink ref="K6" r:id="rId6" display="Carte"/>
    <hyperlink ref="K7" r:id="rId7" display="Carte"/>
    <hyperlink ref="K8" r:id="rId8" display="Carte"/>
    <hyperlink ref="K9" r:id="rId9" display="Carte"/>
    <hyperlink ref="K10" r:id="rId10" display="Carte"/>
    <hyperlink ref="K11" r:id="rId11" display="Carte"/>
    <hyperlink ref="K12" r:id="rId12" display="Carte"/>
    <hyperlink ref="K13" r:id="rId13" display="Carte"/>
    <hyperlink ref="K14" r:id="rId14" display="Carte"/>
    <hyperlink ref="K15" r:id="rId15" display="Carte"/>
    <hyperlink ref="K16" r:id="rId16" display="Carte"/>
    <hyperlink ref="K17" r:id="rId17" display="Carte"/>
    <hyperlink ref="K18" r:id="rId18" display="Carte"/>
    <hyperlink ref="K19" r:id="rId19" display="Carte"/>
    <hyperlink ref="K20" r:id="rId20" display="Carte"/>
    <hyperlink ref="K21" r:id="rId21" display="Carte"/>
    <hyperlink ref="K22" r:id="rId22" display="Carte"/>
    <hyperlink ref="K23" r:id="rId23" display="Carte"/>
    <hyperlink ref="K24" r:id="rId24" display="Carte"/>
    <hyperlink ref="K25" r:id="rId25" display="Carte"/>
    <hyperlink ref="K26" r:id="rId26" display="Carte"/>
    <hyperlink ref="K27" r:id="rId27" display="Carte"/>
    <hyperlink ref="K28" r:id="rId28" display="Carte"/>
    <hyperlink ref="K29" r:id="rId29" display="Carte"/>
    <hyperlink ref="K30" r:id="rId30" display="Carte"/>
    <hyperlink ref="K31" r:id="rId31" display="Carte"/>
    <hyperlink ref="K32" r:id="rId32" display="Carte"/>
    <hyperlink ref="K33" r:id="rId33" display="Carte"/>
    <hyperlink ref="K34" r:id="rId34" display="Carte"/>
    <hyperlink ref="K35" r:id="rId35" display="Carte"/>
    <hyperlink ref="K36" r:id="rId36" display="Carte"/>
    <hyperlink ref="K37" r:id="rId37" display="Carte"/>
    <hyperlink ref="K38" r:id="rId38" display="Carte"/>
    <hyperlink ref="K39" r:id="rId39" display="Carte"/>
    <hyperlink ref="K40" r:id="rId40" display="Carte"/>
    <hyperlink ref="K41" r:id="rId41" display="Carte"/>
    <hyperlink ref="K42" r:id="rId42" display="Carte"/>
    <hyperlink ref="K43" r:id="rId43" display="Carte"/>
    <hyperlink ref="K44" r:id="rId44" display="Carte"/>
    <hyperlink ref="K45" r:id="rId45" display="Carte"/>
    <hyperlink ref="K46" r:id="rId46" display="Carte"/>
    <hyperlink ref="K47" r:id="rId47" display="Carte"/>
    <hyperlink ref="K48" r:id="rId48" display="Carte"/>
    <hyperlink ref="K49" r:id="rId49" display="Carte"/>
    <hyperlink ref="K50" r:id="rId50" display="Carte"/>
    <hyperlink ref="K51" r:id="rId51" display="Carte"/>
    <hyperlink ref="K52" r:id="rId52" display="Carte"/>
    <hyperlink ref="K53" r:id="rId53" display="Carte"/>
    <hyperlink ref="K54" r:id="rId54" display="Carte"/>
    <hyperlink ref="K55" r:id="rId55" display="Carte"/>
    <hyperlink ref="K56" r:id="rId56" display="Carte"/>
    <hyperlink ref="K57" r:id="rId57" display="Carte"/>
    <hyperlink ref="K58" r:id="rId58" display="Carte"/>
    <hyperlink ref="K59" r:id="rId59" display="Carte"/>
    <hyperlink ref="K60" r:id="rId60" display="Carte"/>
    <hyperlink ref="K61" r:id="rId61" display="Carte"/>
    <hyperlink ref="K62" r:id="rId62" display="Carte"/>
    <hyperlink ref="K63" r:id="rId63" display="Carte"/>
    <hyperlink ref="K64" r:id="rId64" display="Carte"/>
    <hyperlink ref="K65" r:id="rId65" display="Carte"/>
    <hyperlink ref="K66" r:id="rId66" display="Carte"/>
    <hyperlink ref="K67" r:id="rId67" display="Carte"/>
    <hyperlink ref="K68" r:id="rId68" display="Carte"/>
    <hyperlink ref="K69" r:id="rId69" display="Carte"/>
    <hyperlink ref="K70" r:id="rId70" display="Carte"/>
    <hyperlink ref="K71" r:id="rId71" display="Carte"/>
    <hyperlink ref="K72" r:id="rId72" display="Carte"/>
    <hyperlink ref="K73" r:id="rId73" display="Carte"/>
    <hyperlink ref="K74" r:id="rId74" display="Carte"/>
    <hyperlink ref="K75" r:id="rId75" display="Carte"/>
    <hyperlink ref="K76" r:id="rId76" display="Carte"/>
    <hyperlink ref="K77" r:id="rId77" display="Carte"/>
    <hyperlink ref="K78" r:id="rId78" display="Carte"/>
    <hyperlink ref="K79" r:id="rId79" display="Carte"/>
    <hyperlink ref="K80" r:id="rId80" display="Carte"/>
    <hyperlink ref="K81" r:id="rId81" display="Carte"/>
    <hyperlink ref="K82" r:id="rId82" display="Carte"/>
    <hyperlink ref="K83" r:id="rId83" display="Carte"/>
    <hyperlink ref="K84" r:id="rId84" display="Carte"/>
    <hyperlink ref="K85" r:id="rId85" display="Carte"/>
    <hyperlink ref="K86" r:id="rId86" display="Carte"/>
    <hyperlink ref="K87" r:id="rId87" display="Carte"/>
    <hyperlink ref="K88" r:id="rId88" display="Carte"/>
    <hyperlink ref="K89" r:id="rId89" display="Carte"/>
    <hyperlink ref="K90" r:id="rId90" display="Carte"/>
    <hyperlink ref="K91" r:id="rId91" display="Carte"/>
    <hyperlink ref="K92" r:id="rId92" display="Carte"/>
    <hyperlink ref="K93" r:id="rId93" display="Carte"/>
    <hyperlink ref="K94" r:id="rId94" display="Carte"/>
    <hyperlink ref="K95" r:id="rId95" display="Carte"/>
    <hyperlink ref="K96" r:id="rId96" display="Carte"/>
    <hyperlink ref="K97" r:id="rId97" display="Carte"/>
    <hyperlink ref="K98" r:id="rId98" display="Carte"/>
    <hyperlink ref="K99" r:id="rId99" display="Carte"/>
    <hyperlink ref="K100" r:id="rId100" display="Carte"/>
    <hyperlink ref="K101" r:id="rId101" display="Carte"/>
    <hyperlink ref="K102" r:id="rId102" display="Carte"/>
    <hyperlink ref="K103" r:id="rId103" display="Carte"/>
    <hyperlink ref="K104" r:id="rId104" display="Carte"/>
    <hyperlink ref="K105" r:id="rId105" display="Carte"/>
    <hyperlink ref="K106" r:id="rId106" display="Carte"/>
    <hyperlink ref="K107" r:id="rId107" display="Carte"/>
    <hyperlink ref="K108" r:id="rId108" display="Carte"/>
    <hyperlink ref="K109" r:id="rId109" display="Carte"/>
    <hyperlink ref="K110" r:id="rId110" display="Carte"/>
    <hyperlink ref="K111" r:id="rId111" display="Carte"/>
    <hyperlink ref="K112" r:id="rId112" display="Carte"/>
    <hyperlink ref="K113" r:id="rId113" display="Carte"/>
    <hyperlink ref="K114" r:id="rId114" display="Carte"/>
    <hyperlink ref="K115" r:id="rId115" display="Carte"/>
    <hyperlink ref="K116" r:id="rId116" display="Carte"/>
    <hyperlink ref="K117" r:id="rId117" display="Carte"/>
    <hyperlink ref="K118" r:id="rId118" display="Carte"/>
    <hyperlink ref="K119" r:id="rId119" display="Carte"/>
    <hyperlink ref="K120" r:id="rId120" display="Carte"/>
    <hyperlink ref="K121" r:id="rId121" display="Carte"/>
    <hyperlink ref="K122" r:id="rId122" display="Carte"/>
    <hyperlink ref="K123" r:id="rId123" display="Carte"/>
    <hyperlink ref="K124" r:id="rId124" display="Carte"/>
    <hyperlink ref="K125" r:id="rId125" display="Carte"/>
    <hyperlink ref="K126" r:id="rId126" display="Carte"/>
    <hyperlink ref="K127" r:id="rId127" display="Carte"/>
    <hyperlink ref="K128" r:id="rId128" display="Carte"/>
    <hyperlink ref="K129" r:id="rId129" display="Carte"/>
    <hyperlink ref="K130" r:id="rId130" display="Carte"/>
    <hyperlink ref="K131" r:id="rId131" display="Carte"/>
    <hyperlink ref="K132" r:id="rId132" display="Carte"/>
    <hyperlink ref="K133" r:id="rId133" display="Carte"/>
    <hyperlink ref="K134" r:id="rId134" display="Carte"/>
    <hyperlink ref="K135" r:id="rId135" display="Carte"/>
    <hyperlink ref="K136" r:id="rId136" display="Carte"/>
    <hyperlink ref="K137" r:id="rId137" display="Carte"/>
    <hyperlink ref="K138" r:id="rId138" display="Carte"/>
    <hyperlink ref="K139" r:id="rId139" display="Carte"/>
    <hyperlink ref="K140" r:id="rId140" display="Carte"/>
    <hyperlink ref="K141" r:id="rId141" display="Carte"/>
    <hyperlink ref="K142" r:id="rId142" display="Carte"/>
    <hyperlink ref="K143" r:id="rId143" display="Carte"/>
    <hyperlink ref="K144" r:id="rId144" display="Carte"/>
    <hyperlink ref="K145" r:id="rId145" display="Carte"/>
    <hyperlink ref="K146" r:id="rId146" display="Carte"/>
    <hyperlink ref="K147" r:id="rId147" display="Carte"/>
    <hyperlink ref="K148" r:id="rId148" display="Carte"/>
    <hyperlink ref="K149" r:id="rId149" display="Carte"/>
    <hyperlink ref="K150" r:id="rId150" display="Carte"/>
    <hyperlink ref="K151" r:id="rId151" display="Carte"/>
    <hyperlink ref="K152" r:id="rId152" display="Carte"/>
    <hyperlink ref="K153" r:id="rId153" display="Carte"/>
    <hyperlink ref="K154" r:id="rId154" display="Carte"/>
    <hyperlink ref="K155" r:id="rId155" display="Carte"/>
    <hyperlink ref="K156" r:id="rId156" display="Carte"/>
    <hyperlink ref="K157" r:id="rId157" display="Carte"/>
    <hyperlink ref="K158" r:id="rId158" display="Carte"/>
    <hyperlink ref="K159" r:id="rId159" display="Carte"/>
    <hyperlink ref="K160" r:id="rId160" display="Carte"/>
    <hyperlink ref="K161" r:id="rId161" display="Carte"/>
    <hyperlink ref="K162" r:id="rId162" display="Carte"/>
    <hyperlink ref="K163" r:id="rId163" display="Carte"/>
    <hyperlink ref="K164" r:id="rId164" display="Carte"/>
    <hyperlink ref="K165" r:id="rId165" display="Carte"/>
    <hyperlink ref="K166" r:id="rId166" display="Carte"/>
    <hyperlink ref="K167" r:id="rId167" display="Carte"/>
    <hyperlink ref="K168" r:id="rId168" display="Carte"/>
    <hyperlink ref="K169" r:id="rId169" display="Carte"/>
    <hyperlink ref="K170" r:id="rId170" display="Carte"/>
    <hyperlink ref="K171" r:id="rId171" display="Carte"/>
    <hyperlink ref="K172" r:id="rId172" display="Carte"/>
    <hyperlink ref="K173" r:id="rId173" display="Carte"/>
    <hyperlink ref="K174" r:id="rId174" display="Carte"/>
    <hyperlink ref="K175" r:id="rId175" display="Carte"/>
    <hyperlink ref="K176" r:id="rId176" display="Carte"/>
    <hyperlink ref="K177" r:id="rId177" display="Carte"/>
    <hyperlink ref="K178" r:id="rId178" display="Carte"/>
    <hyperlink ref="K179" r:id="rId179" display="Carte"/>
    <hyperlink ref="K180" r:id="rId180" display="Carte"/>
    <hyperlink ref="K181" r:id="rId181" display="Carte"/>
    <hyperlink ref="K182" r:id="rId182" display="Carte"/>
    <hyperlink ref="K183" r:id="rId183" display="Carte"/>
    <hyperlink ref="K184" r:id="rId184" display="Carte"/>
    <hyperlink ref="K185" r:id="rId185" display="Carte"/>
    <hyperlink ref="K186" r:id="rId186" display="Carte"/>
    <hyperlink ref="K187" r:id="rId187" display="Carte"/>
    <hyperlink ref="K188" r:id="rId188" display="Carte"/>
    <hyperlink ref="K189" r:id="rId189" display="Carte"/>
    <hyperlink ref="K190" r:id="rId190" display="Carte"/>
    <hyperlink ref="K191" r:id="rId191" display="Carte"/>
    <hyperlink ref="K192" r:id="rId192" display="Carte"/>
    <hyperlink ref="K193" r:id="rId193" display="Carte"/>
    <hyperlink ref="K194" r:id="rId194" display="Carte"/>
    <hyperlink ref="K195" r:id="rId195" display="Carte"/>
    <hyperlink ref="K196" r:id="rId196" display="Carte"/>
    <hyperlink ref="K197" r:id="rId197" display="Carte"/>
    <hyperlink ref="K198" r:id="rId198" display="Carte"/>
    <hyperlink ref="K199" r:id="rId199" display="Carte"/>
    <hyperlink ref="K200" r:id="rId200" display="Carte"/>
    <hyperlink ref="K201" r:id="rId201" display="Carte"/>
    <hyperlink ref="K202" r:id="rId202" display="Carte"/>
    <hyperlink ref="K203" r:id="rId203" display="Carte"/>
    <hyperlink ref="K204" r:id="rId204" display="Carte"/>
    <hyperlink ref="K205" r:id="rId205" display="Carte"/>
    <hyperlink ref="K206" r:id="rId206" display="Carte"/>
    <hyperlink ref="K207" r:id="rId207" display="Carte"/>
    <hyperlink ref="K208" r:id="rId208" display="Carte"/>
    <hyperlink ref="K209" r:id="rId209" display="Carte"/>
    <hyperlink ref="K210" r:id="rId210" display="Carte"/>
    <hyperlink ref="K211" r:id="rId211" display="Carte"/>
    <hyperlink ref="K212" r:id="rId212" display="Carte"/>
    <hyperlink ref="K213" r:id="rId213" display="Carte"/>
    <hyperlink ref="K214" r:id="rId214" display="Carte"/>
    <hyperlink ref="K215" r:id="rId215" display="Carte"/>
    <hyperlink ref="K216" r:id="rId216" display="Carte"/>
  </hyperlinks>
  <printOptions headings="false" gridLines="false" gridLinesSet="true" horizontalCentered="false" verticalCentered="false"/>
  <pageMargins left="0.4" right="0.4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&amp;CRouting mensuel Atom — validation du 17/10/2026 — &amp;A</oddHeader>
    <oddFooter>&amp;CPage &amp;P / &amp;N</oddFooter>
  </headerFooter>
  <drawing r:id="rId217"/>
  <legacyDrawing r:id="rId218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4" min="3" style="0" width="26"/>
    <col collapsed="false" customWidth="true" hidden="false" outlineLevel="0" max="5" min="5" style="0" width="20"/>
  </cols>
  <sheetData>
    <row r="1" customFormat="false" ht="45" hidden="false" customHeight="true" outlineLevel="0" collapsed="false">
      <c r="A1" s="5" t="s">
        <v>664</v>
      </c>
      <c r="B1" s="5" t="s">
        <v>38</v>
      </c>
      <c r="C1" s="5" t="s">
        <v>665</v>
      </c>
      <c r="D1" s="5" t="s">
        <v>666</v>
      </c>
      <c r="E1" s="5" t="s">
        <v>667</v>
      </c>
    </row>
    <row r="2" customFormat="false" ht="15" hidden="false" customHeight="false" outlineLevel="0" collapsed="false">
      <c r="A2" s="18" t="n">
        <v>46296</v>
      </c>
      <c r="B2" s="6" t="str">
        <f aca="false">CHOOSE(WEEKDAY(A2,2),"Lundi","Mardi","Mercredi","Jeudi","Vendredi","Samedi","Dimanche")</f>
        <v>Jeudi</v>
      </c>
      <c r="C2" s="6" t="n">
        <f aca="false">INT((DAY(A2)-1)/7)+1</f>
        <v>1</v>
      </c>
      <c r="D2" s="6" t="n">
        <f aca="false">INT((DAY(A2-WEEKDAY(A2,3))-1)/7)+1</f>
        <v>4</v>
      </c>
      <c r="E2" s="19"/>
    </row>
    <row r="3" customFormat="false" ht="15" hidden="false" customHeight="false" outlineLevel="0" collapsed="false">
      <c r="A3" s="18" t="n">
        <v>46297</v>
      </c>
      <c r="B3" s="6" t="str">
        <f aca="false">CHOOSE(WEEKDAY(A3,2),"Lundi","Mardi","Mercredi","Jeudi","Vendredi","Samedi","Dimanche")</f>
        <v>Vendredi</v>
      </c>
      <c r="C3" s="6" t="n">
        <f aca="false">INT((DAY(A3)-1)/7)+1</f>
        <v>1</v>
      </c>
      <c r="D3" s="6" t="n">
        <f aca="false">INT((DAY(A3-WEEKDAY(A3,3))-1)/7)+1</f>
        <v>4</v>
      </c>
      <c r="E3" s="19"/>
    </row>
    <row r="4" customFormat="false" ht="15" hidden="false" customHeight="false" outlineLevel="0" collapsed="false">
      <c r="A4" s="18" t="n">
        <v>46298</v>
      </c>
      <c r="B4" s="6" t="str">
        <f aca="false">CHOOSE(WEEKDAY(A4,2),"Lundi","Mardi","Mercredi","Jeudi","Vendredi","Samedi","Dimanche")</f>
        <v>Samedi</v>
      </c>
      <c r="C4" s="6" t="n">
        <f aca="false">INT((DAY(A4)-1)/7)+1</f>
        <v>1</v>
      </c>
      <c r="D4" s="6" t="n">
        <f aca="false">INT((DAY(A4-WEEKDAY(A4,3))-1)/7)+1</f>
        <v>4</v>
      </c>
      <c r="E4" s="19"/>
    </row>
    <row r="5" customFormat="false" ht="15" hidden="false" customHeight="false" outlineLevel="0" collapsed="false">
      <c r="A5" s="18" t="n">
        <v>46300</v>
      </c>
      <c r="B5" s="6" t="str">
        <f aca="false">CHOOSE(WEEKDAY(A5,2),"Lundi","Mardi","Mercredi","Jeudi","Vendredi","Samedi","Dimanche")</f>
        <v>Lundi</v>
      </c>
      <c r="C5" s="6" t="n">
        <f aca="false">INT((DAY(A5)-1)/7)+1</f>
        <v>1</v>
      </c>
      <c r="D5" s="6" t="n">
        <f aca="false">INT((DAY(A5-WEEKDAY(A5,3))-1)/7)+1</f>
        <v>1</v>
      </c>
      <c r="E5" s="19"/>
    </row>
    <row r="6" customFormat="false" ht="15" hidden="false" customHeight="false" outlineLevel="0" collapsed="false">
      <c r="A6" s="18" t="n">
        <v>46301</v>
      </c>
      <c r="B6" s="6" t="str">
        <f aca="false">CHOOSE(WEEKDAY(A6,2),"Lundi","Mardi","Mercredi","Jeudi","Vendredi","Samedi","Dimanche")</f>
        <v>Mardi</v>
      </c>
      <c r="C6" s="6" t="n">
        <f aca="false">INT((DAY(A6)-1)/7)+1</f>
        <v>1</v>
      </c>
      <c r="D6" s="6" t="n">
        <f aca="false">INT((DAY(A6-WEEKDAY(A6,3))-1)/7)+1</f>
        <v>1</v>
      </c>
      <c r="E6" s="19"/>
    </row>
    <row r="7" customFormat="false" ht="15" hidden="false" customHeight="false" outlineLevel="0" collapsed="false">
      <c r="A7" s="18" t="n">
        <v>46302</v>
      </c>
      <c r="B7" s="6" t="str">
        <f aca="false">CHOOSE(WEEKDAY(A7,2),"Lundi","Mardi","Mercredi","Jeudi","Vendredi","Samedi","Dimanche")</f>
        <v>Mercredi</v>
      </c>
      <c r="C7" s="6" t="n">
        <f aca="false">INT((DAY(A7)-1)/7)+1</f>
        <v>1</v>
      </c>
      <c r="D7" s="6" t="n">
        <f aca="false">INT((DAY(A7-WEEKDAY(A7,3))-1)/7)+1</f>
        <v>1</v>
      </c>
      <c r="E7" s="19"/>
    </row>
    <row r="8" customFormat="false" ht="15" hidden="false" customHeight="false" outlineLevel="0" collapsed="false">
      <c r="A8" s="18" t="n">
        <v>46303</v>
      </c>
      <c r="B8" s="6" t="str">
        <f aca="false">CHOOSE(WEEKDAY(A8,2),"Lundi","Mardi","Mercredi","Jeudi","Vendredi","Samedi","Dimanche")</f>
        <v>Jeudi</v>
      </c>
      <c r="C8" s="6" t="n">
        <f aca="false">INT((DAY(A8)-1)/7)+1</f>
        <v>2</v>
      </c>
      <c r="D8" s="6" t="n">
        <f aca="false">INT((DAY(A8-WEEKDAY(A8,3))-1)/7)+1</f>
        <v>1</v>
      </c>
      <c r="E8" s="19"/>
    </row>
    <row r="9" customFormat="false" ht="15" hidden="false" customHeight="false" outlineLevel="0" collapsed="false">
      <c r="A9" s="18" t="n">
        <v>46304</v>
      </c>
      <c r="B9" s="6" t="str">
        <f aca="false">CHOOSE(WEEKDAY(A9,2),"Lundi","Mardi","Mercredi","Jeudi","Vendredi","Samedi","Dimanche")</f>
        <v>Vendredi</v>
      </c>
      <c r="C9" s="6" t="n">
        <f aca="false">INT((DAY(A9)-1)/7)+1</f>
        <v>2</v>
      </c>
      <c r="D9" s="6" t="n">
        <f aca="false">INT((DAY(A9-WEEKDAY(A9,3))-1)/7)+1</f>
        <v>1</v>
      </c>
      <c r="E9" s="19"/>
    </row>
    <row r="10" customFormat="false" ht="15" hidden="false" customHeight="false" outlineLevel="0" collapsed="false">
      <c r="A10" s="18" t="n">
        <v>46305</v>
      </c>
      <c r="B10" s="6" t="str">
        <f aca="false">CHOOSE(WEEKDAY(A10,2),"Lundi","Mardi","Mercredi","Jeudi","Vendredi","Samedi","Dimanche")</f>
        <v>Samedi</v>
      </c>
      <c r="C10" s="6" t="n">
        <f aca="false">INT((DAY(A10)-1)/7)+1</f>
        <v>2</v>
      </c>
      <c r="D10" s="6" t="n">
        <f aca="false">INT((DAY(A10-WEEKDAY(A10,3))-1)/7)+1</f>
        <v>1</v>
      </c>
      <c r="E10" s="19"/>
    </row>
    <row r="11" customFormat="false" ht="15" hidden="false" customHeight="false" outlineLevel="0" collapsed="false">
      <c r="A11" s="18" t="n">
        <v>46307</v>
      </c>
      <c r="B11" s="6" t="str">
        <f aca="false">CHOOSE(WEEKDAY(A11,2),"Lundi","Mardi","Mercredi","Jeudi","Vendredi","Samedi","Dimanche")</f>
        <v>Lundi</v>
      </c>
      <c r="C11" s="6" t="n">
        <f aca="false">INT((DAY(A11)-1)/7)+1</f>
        <v>2</v>
      </c>
      <c r="D11" s="6" t="n">
        <f aca="false">INT((DAY(A11-WEEKDAY(A11,3))-1)/7)+1</f>
        <v>2</v>
      </c>
      <c r="E11" s="19"/>
    </row>
    <row r="12" customFormat="false" ht="15" hidden="false" customHeight="false" outlineLevel="0" collapsed="false">
      <c r="A12" s="18" t="n">
        <v>46308</v>
      </c>
      <c r="B12" s="6" t="str">
        <f aca="false">CHOOSE(WEEKDAY(A12,2),"Lundi","Mardi","Mercredi","Jeudi","Vendredi","Samedi","Dimanche")</f>
        <v>Mardi</v>
      </c>
      <c r="C12" s="6" t="n">
        <f aca="false">INT((DAY(A12)-1)/7)+1</f>
        <v>2</v>
      </c>
      <c r="D12" s="6" t="n">
        <f aca="false">INT((DAY(A12-WEEKDAY(A12,3))-1)/7)+1</f>
        <v>2</v>
      </c>
      <c r="E12" s="19"/>
    </row>
    <row r="13" customFormat="false" ht="15" hidden="false" customHeight="false" outlineLevel="0" collapsed="false">
      <c r="A13" s="18" t="n">
        <v>46309</v>
      </c>
      <c r="B13" s="6" t="str">
        <f aca="false">CHOOSE(WEEKDAY(A13,2),"Lundi","Mardi","Mercredi","Jeudi","Vendredi","Samedi","Dimanche")</f>
        <v>Mercredi</v>
      </c>
      <c r="C13" s="6" t="n">
        <f aca="false">INT((DAY(A13)-1)/7)+1</f>
        <v>2</v>
      </c>
      <c r="D13" s="6" t="n">
        <f aca="false">INT((DAY(A13-WEEKDAY(A13,3))-1)/7)+1</f>
        <v>2</v>
      </c>
      <c r="E13" s="19"/>
    </row>
    <row r="14" customFormat="false" ht="15" hidden="false" customHeight="false" outlineLevel="0" collapsed="false">
      <c r="A14" s="18" t="n">
        <v>46310</v>
      </c>
      <c r="B14" s="6" t="str">
        <f aca="false">CHOOSE(WEEKDAY(A14,2),"Lundi","Mardi","Mercredi","Jeudi","Vendredi","Samedi","Dimanche")</f>
        <v>Jeudi</v>
      </c>
      <c r="C14" s="6" t="n">
        <f aca="false">INT((DAY(A14)-1)/7)+1</f>
        <v>3</v>
      </c>
      <c r="D14" s="6" t="n">
        <f aca="false">INT((DAY(A14-WEEKDAY(A14,3))-1)/7)+1</f>
        <v>2</v>
      </c>
      <c r="E14" s="19"/>
    </row>
    <row r="15" customFormat="false" ht="15" hidden="false" customHeight="false" outlineLevel="0" collapsed="false">
      <c r="A15" s="18" t="n">
        <v>46311</v>
      </c>
      <c r="B15" s="6" t="str">
        <f aca="false">CHOOSE(WEEKDAY(A15,2),"Lundi","Mardi","Mercredi","Jeudi","Vendredi","Samedi","Dimanche")</f>
        <v>Vendredi</v>
      </c>
      <c r="C15" s="6" t="n">
        <f aca="false">INT((DAY(A15)-1)/7)+1</f>
        <v>3</v>
      </c>
      <c r="D15" s="6" t="n">
        <f aca="false">INT((DAY(A15-WEEKDAY(A15,3))-1)/7)+1</f>
        <v>2</v>
      </c>
      <c r="E15" s="19"/>
    </row>
    <row r="16" customFormat="false" ht="15" hidden="false" customHeight="false" outlineLevel="0" collapsed="false">
      <c r="A16" s="20" t="n">
        <v>46312</v>
      </c>
      <c r="B16" s="7" t="str">
        <f aca="false">CHOOSE(WEEKDAY(A16,2),"Lundi","Mardi","Mercredi","Jeudi","Vendredi","Samedi","Dimanche")</f>
        <v>Samedi</v>
      </c>
      <c r="C16" s="7" t="n">
        <f aca="false">INT((DAY(A16)-1)/7)+1</f>
        <v>3</v>
      </c>
      <c r="D16" s="7" t="n">
        <f aca="false">INT((DAY(A16-WEEKDAY(A16,3))-1)/7)+1</f>
        <v>2</v>
      </c>
      <c r="E16" s="21"/>
    </row>
    <row r="17" customFormat="false" ht="15" hidden="false" customHeight="false" outlineLevel="0" collapsed="false">
      <c r="A17" s="18" t="n">
        <v>46314</v>
      </c>
      <c r="B17" s="6" t="str">
        <f aca="false">CHOOSE(WEEKDAY(A17,2),"Lundi","Mardi","Mercredi","Jeudi","Vendredi","Samedi","Dimanche")</f>
        <v>Lundi</v>
      </c>
      <c r="C17" s="6" t="n">
        <f aca="false">INT((DAY(A17)-1)/7)+1</f>
        <v>3</v>
      </c>
      <c r="D17" s="6" t="n">
        <f aca="false">INT((DAY(A17-WEEKDAY(A17,3))-1)/7)+1</f>
        <v>3</v>
      </c>
      <c r="E17" s="19"/>
    </row>
    <row r="18" customFormat="false" ht="15" hidden="false" customHeight="false" outlineLevel="0" collapsed="false">
      <c r="A18" s="18" t="n">
        <v>46315</v>
      </c>
      <c r="B18" s="6" t="str">
        <f aca="false">CHOOSE(WEEKDAY(A18,2),"Lundi","Mardi","Mercredi","Jeudi","Vendredi","Samedi","Dimanche")</f>
        <v>Mardi</v>
      </c>
      <c r="C18" s="6" t="n">
        <f aca="false">INT((DAY(A18)-1)/7)+1</f>
        <v>3</v>
      </c>
      <c r="D18" s="6" t="n">
        <f aca="false">INT((DAY(A18-WEEKDAY(A18,3))-1)/7)+1</f>
        <v>3</v>
      </c>
      <c r="E18" s="19"/>
    </row>
    <row r="19" customFormat="false" ht="15" hidden="false" customHeight="false" outlineLevel="0" collapsed="false">
      <c r="A19" s="18" t="n">
        <v>46316</v>
      </c>
      <c r="B19" s="6" t="str">
        <f aca="false">CHOOSE(WEEKDAY(A19,2),"Lundi","Mardi","Mercredi","Jeudi","Vendredi","Samedi","Dimanche")</f>
        <v>Mercredi</v>
      </c>
      <c r="C19" s="6" t="n">
        <f aca="false">INT((DAY(A19)-1)/7)+1</f>
        <v>3</v>
      </c>
      <c r="D19" s="6" t="n">
        <f aca="false">INT((DAY(A19-WEEKDAY(A19,3))-1)/7)+1</f>
        <v>3</v>
      </c>
      <c r="E19" s="19"/>
    </row>
    <row r="20" customFormat="false" ht="15" hidden="false" customHeight="false" outlineLevel="0" collapsed="false">
      <c r="A20" s="18" t="n">
        <v>46317</v>
      </c>
      <c r="B20" s="6" t="str">
        <f aca="false">CHOOSE(WEEKDAY(A20,2),"Lundi","Mardi","Mercredi","Jeudi","Vendredi","Samedi","Dimanche")</f>
        <v>Jeudi</v>
      </c>
      <c r="C20" s="6" t="n">
        <f aca="false">INT((DAY(A20)-1)/7)+1</f>
        <v>4</v>
      </c>
      <c r="D20" s="6" t="n">
        <f aca="false">INT((DAY(A20-WEEKDAY(A20,3))-1)/7)+1</f>
        <v>3</v>
      </c>
      <c r="E20" s="19"/>
    </row>
    <row r="21" customFormat="false" ht="15" hidden="false" customHeight="false" outlineLevel="0" collapsed="false">
      <c r="A21" s="18" t="n">
        <v>46318</v>
      </c>
      <c r="B21" s="6" t="str">
        <f aca="false">CHOOSE(WEEKDAY(A21,2),"Lundi","Mardi","Mercredi","Jeudi","Vendredi","Samedi","Dimanche")</f>
        <v>Vendredi</v>
      </c>
      <c r="C21" s="6" t="n">
        <f aca="false">INT((DAY(A21)-1)/7)+1</f>
        <v>4</v>
      </c>
      <c r="D21" s="6" t="n">
        <f aca="false">INT((DAY(A21-WEEKDAY(A21,3))-1)/7)+1</f>
        <v>3</v>
      </c>
      <c r="E21" s="19"/>
    </row>
    <row r="22" customFormat="false" ht="15" hidden="false" customHeight="false" outlineLevel="0" collapsed="false">
      <c r="A22" s="18" t="n">
        <v>46319</v>
      </c>
      <c r="B22" s="6" t="str">
        <f aca="false">CHOOSE(WEEKDAY(A22,2),"Lundi","Mardi","Mercredi","Jeudi","Vendredi","Samedi","Dimanche")</f>
        <v>Samedi</v>
      </c>
      <c r="C22" s="6" t="n">
        <f aca="false">INT((DAY(A22)-1)/7)+1</f>
        <v>4</v>
      </c>
      <c r="D22" s="6" t="n">
        <f aca="false">INT((DAY(A22-WEEKDAY(A22,3))-1)/7)+1</f>
        <v>3</v>
      </c>
      <c r="E22" s="19"/>
    </row>
    <row r="23" customFormat="false" ht="15" hidden="false" customHeight="false" outlineLevel="0" collapsed="false">
      <c r="A23" s="18" t="n">
        <v>46321</v>
      </c>
      <c r="B23" s="6" t="str">
        <f aca="false">CHOOSE(WEEKDAY(A23,2),"Lundi","Mardi","Mercredi","Jeudi","Vendredi","Samedi","Dimanche")</f>
        <v>Lundi</v>
      </c>
      <c r="C23" s="6" t="n">
        <f aca="false">INT((DAY(A23)-1)/7)+1</f>
        <v>4</v>
      </c>
      <c r="D23" s="6" t="n">
        <f aca="false">INT((DAY(A23-WEEKDAY(A23,3))-1)/7)+1</f>
        <v>4</v>
      </c>
      <c r="E23" s="19"/>
    </row>
    <row r="24" customFormat="false" ht="15" hidden="false" customHeight="false" outlineLevel="0" collapsed="false">
      <c r="A24" s="18" t="n">
        <v>46322</v>
      </c>
      <c r="B24" s="6" t="str">
        <f aca="false">CHOOSE(WEEKDAY(A24,2),"Lundi","Mardi","Mercredi","Jeudi","Vendredi","Samedi","Dimanche")</f>
        <v>Mardi</v>
      </c>
      <c r="C24" s="6" t="n">
        <f aca="false">INT((DAY(A24)-1)/7)+1</f>
        <v>4</v>
      </c>
      <c r="D24" s="6" t="n">
        <f aca="false">INT((DAY(A24-WEEKDAY(A24,3))-1)/7)+1</f>
        <v>4</v>
      </c>
      <c r="E24" s="19"/>
    </row>
    <row r="25" customFormat="false" ht="15" hidden="false" customHeight="false" outlineLevel="0" collapsed="false">
      <c r="A25" s="18" t="n">
        <v>46323</v>
      </c>
      <c r="B25" s="6" t="str">
        <f aca="false">CHOOSE(WEEKDAY(A25,2),"Lundi","Mardi","Mercredi","Jeudi","Vendredi","Samedi","Dimanche")</f>
        <v>Mercredi</v>
      </c>
      <c r="C25" s="6" t="n">
        <f aca="false">INT((DAY(A25)-1)/7)+1</f>
        <v>4</v>
      </c>
      <c r="D25" s="6" t="n">
        <f aca="false">INT((DAY(A25-WEEKDAY(A25,3))-1)/7)+1</f>
        <v>4</v>
      </c>
      <c r="E25" s="19"/>
    </row>
    <row r="26" customFormat="false" ht="15" hidden="false" customHeight="false" outlineLevel="0" collapsed="false">
      <c r="A26" s="18" t="n">
        <v>46324</v>
      </c>
      <c r="B26" s="6" t="str">
        <f aca="false">CHOOSE(WEEKDAY(A26,2),"Lundi","Mardi","Mercredi","Jeudi","Vendredi","Samedi","Dimanche")</f>
        <v>Jeudi</v>
      </c>
      <c r="C26" s="6" t="n">
        <f aca="false">INT((DAY(A26)-1)/7)+1</f>
        <v>5</v>
      </c>
      <c r="D26" s="6" t="n">
        <f aca="false">INT((DAY(A26-WEEKDAY(A26,3))-1)/7)+1</f>
        <v>4</v>
      </c>
      <c r="E26" s="19"/>
    </row>
    <row r="27" customFormat="false" ht="15" hidden="false" customHeight="false" outlineLevel="0" collapsed="false">
      <c r="A27" s="18" t="n">
        <v>46325</v>
      </c>
      <c r="B27" s="6" t="str">
        <f aca="false">CHOOSE(WEEKDAY(A27,2),"Lundi","Mardi","Mercredi","Jeudi","Vendredi","Samedi","Dimanche")</f>
        <v>Vendredi</v>
      </c>
      <c r="C27" s="6" t="n">
        <f aca="false">INT((DAY(A27)-1)/7)+1</f>
        <v>5</v>
      </c>
      <c r="D27" s="6" t="n">
        <f aca="false">INT((DAY(A27-WEEKDAY(A27,3))-1)/7)+1</f>
        <v>4</v>
      </c>
      <c r="E27" s="19"/>
    </row>
    <row r="28" customFormat="false" ht="15" hidden="false" customHeight="false" outlineLevel="0" collapsed="false">
      <c r="A28" s="18" t="n">
        <v>46326</v>
      </c>
      <c r="B28" s="6" t="str">
        <f aca="false">CHOOSE(WEEKDAY(A28,2),"Lundi","Mardi","Mercredi","Jeudi","Vendredi","Samedi","Dimanche")</f>
        <v>Samedi</v>
      </c>
      <c r="C28" s="6" t="n">
        <f aca="false">INT((DAY(A28)-1)/7)+1</f>
        <v>5</v>
      </c>
      <c r="D28" s="6" t="n">
        <f aca="false">INT((DAY(A28-WEEKDAY(A28,3))-1)/7)+1</f>
        <v>4</v>
      </c>
      <c r="E28" s="19"/>
    </row>
    <row r="30" customFormat="false" ht="15" hidden="false" customHeight="false" outlineLevel="0" collapsed="false">
      <c r="A30" s="22" t="s">
        <v>668</v>
      </c>
    </row>
  </sheetData>
  <printOptions headings="false" gridLines="false" gridLinesSet="true" horizontalCentered="false" verticalCentered="false"/>
  <pageMargins left="0.4" right="0.4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&amp;CRouting mensuel Atom — validation du 17/10/2026 — &amp;A</oddHeader>
    <oddFooter>&amp;CPage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2026-10-17T12:25:29Z</dcterms:created>
  <dc:creator>openpyxl</dc:creator>
  <dc:description/>
  <dc:language>en-US</dc:language>
  <cp:lastModifiedBy/>
  <dcterms:modified xsi:type="dcterms:W3CDTF">2026-10-17T12:25:30Z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